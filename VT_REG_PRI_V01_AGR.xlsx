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patir\Documents\Praca ESMlab\1. TIMES-PL-PSE\Potencjał biogazu\Poprawy 2026\BASIC_AGR\Basic_AGR\"/>
    </mc:Choice>
  </mc:AlternateContent>
  <xr:revisionPtr revIDLastSave="0" documentId="13_ncr:1_{AF9FB75C-22D1-425C-84DE-3F4FE365719F}" xr6:coauthVersionLast="47" xr6:coauthVersionMax="47" xr10:uidLastSave="{00000000-0000-0000-0000-000000000000}"/>
  <bookViews>
    <workbookView xWindow="-96" yWindow="0" windowWidth="11712" windowHeight="13776" tabRatio="901" activeTab="4" xr2:uid="{00000000-000D-0000-FFFF-FFFF00000000}"/>
  </bookViews>
  <sheets>
    <sheet name="EnergyBalance" sheetId="133" r:id="rId1"/>
    <sheet name="RES&amp;OBJ" sheetId="135" r:id="rId2"/>
    <sheet name="DemTechs_TPS" sheetId="136" r:id="rId3"/>
    <sheet name="SUP" sheetId="132" r:id="rId4"/>
    <sheet name="Demands" sheetId="134" r:id="rId5"/>
  </sheets>
  <externalReferences>
    <externalReference r:id="rId6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4" l="1"/>
  <c r="C9" i="134"/>
  <c r="F2" i="136" l="1"/>
  <c r="E2" i="136"/>
  <c r="D2" i="136"/>
  <c r="B2" i="136"/>
  <c r="C2" i="136"/>
  <c r="K24" i="133"/>
  <c r="L11" i="133"/>
  <c r="F24" i="133"/>
  <c r="L23" i="133"/>
  <c r="L22" i="133"/>
  <c r="L20" i="133"/>
  <c r="L19" i="133"/>
  <c r="L18" i="133"/>
  <c r="L17" i="133"/>
  <c r="L16" i="133"/>
  <c r="K14" i="133"/>
  <c r="J14" i="133"/>
  <c r="I14" i="133"/>
  <c r="H14" i="133"/>
  <c r="G14" i="133"/>
  <c r="F14" i="133"/>
  <c r="E14" i="133"/>
  <c r="D14" i="133"/>
  <c r="L13" i="133"/>
  <c r="L12" i="133"/>
  <c r="L10" i="133"/>
  <c r="L7" i="133"/>
  <c r="L6" i="133"/>
  <c r="L5" i="133"/>
  <c r="K8" i="133"/>
  <c r="J8" i="133"/>
  <c r="J21" i="133"/>
  <c r="J24" i="133" s="1"/>
  <c r="I8" i="133"/>
  <c r="I21" i="133" s="1"/>
  <c r="I24" i="133" s="1"/>
  <c r="H8" i="133"/>
  <c r="H21" i="133" s="1"/>
  <c r="H24" i="133" s="1"/>
  <c r="G8" i="133"/>
  <c r="G21" i="133" s="1"/>
  <c r="G24" i="133" s="1"/>
  <c r="F8" i="133"/>
  <c r="E8" i="133"/>
  <c r="E21" i="133" s="1"/>
  <c r="E24" i="133" s="1"/>
  <c r="D8" i="133"/>
  <c r="D21" i="133"/>
  <c r="G2" i="134"/>
  <c r="E2" i="134"/>
  <c r="E8" i="134" s="1"/>
  <c r="E2" i="132"/>
  <c r="G2" i="132"/>
  <c r="D2" i="132"/>
  <c r="C2" i="132"/>
  <c r="L8" i="133" l="1"/>
  <c r="L14" i="133"/>
  <c r="L21" i="133"/>
  <c r="L24" i="133" s="1"/>
  <c r="E10" i="132"/>
  <c r="D24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19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1ACB9398-13E7-44DA-B7FB-ECB72A6259DA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D3" authorId="1" shapeId="0" xr:uid="{00000000-0006-0000-0300-000007000000}">
      <text>
        <r>
          <rPr>
            <sz val="8"/>
            <color indexed="81"/>
            <rFont val="Tahoma"/>
            <family val="2"/>
          </rPr>
          <t xml:space="preserve">Needed only when one wants to override the VEDA default assignment
</t>
        </r>
      </text>
    </comment>
  </commentList>
</comments>
</file>

<file path=xl/sharedStrings.xml><?xml version="1.0" encoding="utf-8"?>
<sst xmlns="http://schemas.openxmlformats.org/spreadsheetml/2006/main" count="566" uniqueCount="244">
  <si>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</si>
  <si>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</si>
  <si>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</si>
  <si>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</si>
  <si>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</si>
  <si>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</si>
  <si>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</si>
  <si>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</si>
  <si>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</si>
  <si>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PeakTS</t>
  </si>
  <si>
    <t>Sets</t>
  </si>
  <si>
    <t>~FI_T</t>
  </si>
  <si>
    <t>~FI_Comm</t>
  </si>
  <si>
    <t>~FI_Process</t>
  </si>
  <si>
    <t>Tact</t>
  </si>
  <si>
    <t>Tcap</t>
  </si>
  <si>
    <t>PrimaryCG</t>
  </si>
  <si>
    <t>Technology Name</t>
  </si>
  <si>
    <t>Technology Description</t>
  </si>
  <si>
    <t>Activity Unit</t>
  </si>
  <si>
    <t>Capacity Unit</t>
  </si>
  <si>
    <t>Commodity Name</t>
  </si>
  <si>
    <t>Commodity Description</t>
  </si>
  <si>
    <t>Peak Monitoring</t>
  </si>
  <si>
    <t>Region</t>
  </si>
  <si>
    <t>Region Name</t>
  </si>
  <si>
    <t>Input Commodity</t>
  </si>
  <si>
    <t>Output Commodity</t>
  </si>
  <si>
    <t>Demand</t>
  </si>
  <si>
    <t>Demand Value</t>
  </si>
  <si>
    <t>COST</t>
  </si>
  <si>
    <t>*Commodity Set Membership</t>
  </si>
  <si>
    <t>*Process Set Membership</t>
  </si>
  <si>
    <t>*Technology Name</t>
  </si>
  <si>
    <t>Sense of the Balance EQN.</t>
  </si>
  <si>
    <t>Primary Commodity Group</t>
  </si>
  <si>
    <t>COA</t>
  </si>
  <si>
    <t>GAS</t>
  </si>
  <si>
    <t>OIL</t>
  </si>
  <si>
    <t>NUC</t>
  </si>
  <si>
    <t>RNW</t>
  </si>
  <si>
    <t>SLU</t>
  </si>
  <si>
    <t>HET</t>
  </si>
  <si>
    <t>ELC</t>
  </si>
  <si>
    <t>Solid Fuels</t>
  </si>
  <si>
    <t>Natural Gas</t>
  </si>
  <si>
    <t>Nuclear Energy</t>
  </si>
  <si>
    <t>Renewable Energies</t>
  </si>
  <si>
    <t>Industrial Wastes</t>
  </si>
  <si>
    <t>Derived Heat</t>
  </si>
  <si>
    <t>Total</t>
  </si>
  <si>
    <t>PRIMARY</t>
  </si>
  <si>
    <t>MIN</t>
  </si>
  <si>
    <t>Domestic Supply</t>
  </si>
  <si>
    <t>IMP</t>
  </si>
  <si>
    <t>Imports</t>
  </si>
  <si>
    <t>EXP</t>
  </si>
  <si>
    <t>Exports</t>
  </si>
  <si>
    <t>CONVERSION</t>
  </si>
  <si>
    <t>ESC</t>
  </si>
  <si>
    <t>Energy Sector Consumption</t>
  </si>
  <si>
    <t>Electricity Plants</t>
  </si>
  <si>
    <t>HPL</t>
  </si>
  <si>
    <t>Heat Plants</t>
  </si>
  <si>
    <t>REF</t>
  </si>
  <si>
    <t>Petroleum Refineries</t>
  </si>
  <si>
    <t>Total Conversion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</si>
  <si>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</si>
  <si>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</si>
  <si>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</si>
  <si>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</si>
  <si>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</si>
  <si>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</si>
  <si>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</si>
  <si>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</si>
  <si>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</si>
  <si>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</si>
  <si>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</si>
  <si>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</si>
  <si>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</si>
  <si>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</si>
  <si>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</si>
  <si>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</si>
  <si>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</si>
  <si>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</si>
  <si>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</si>
  <si>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</si>
  <si>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</si>
  <si>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</si>
  <si>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Attribute</t>
  </si>
  <si>
    <t>*</t>
  </si>
  <si>
    <t>Demand Commodity Name</t>
  </si>
  <si>
    <t>DEM</t>
  </si>
  <si>
    <t>NEN</t>
  </si>
  <si>
    <t>BNK</t>
  </si>
  <si>
    <t>Electricity</t>
  </si>
  <si>
    <t>TFC</t>
  </si>
  <si>
    <t>*Units</t>
  </si>
  <si>
    <t>Cost</t>
  </si>
  <si>
    <t>Default Units</t>
  </si>
  <si>
    <t>Currency</t>
  </si>
  <si>
    <t>Activity</t>
  </si>
  <si>
    <t>Emissions</t>
  </si>
  <si>
    <t>kt</t>
  </si>
  <si>
    <t>Domestic Supply Curve Share - Step 1</t>
  </si>
  <si>
    <t>Domestic Supply Curve Share - Step 2</t>
  </si>
  <si>
    <t>*Unit</t>
  </si>
  <si>
    <t>Demand Unit</t>
  </si>
  <si>
    <t>M€2005</t>
  </si>
  <si>
    <t>Data used in the template to buld the model</t>
  </si>
  <si>
    <t>Reference Energy System (from VEDA-FE Go-To RES feature)</t>
  </si>
  <si>
    <t>Objective Function</t>
  </si>
  <si>
    <t>Type</t>
  </si>
  <si>
    <t>Existing</t>
  </si>
  <si>
    <t>E</t>
  </si>
  <si>
    <t>STOCK</t>
  </si>
  <si>
    <t>AFA</t>
  </si>
  <si>
    <t>FIXOM</t>
  </si>
  <si>
    <t>Existing Installed Capacity</t>
  </si>
  <si>
    <t>TPS</t>
  </si>
  <si>
    <t>Total Primary Supply</t>
  </si>
  <si>
    <t>Total Final Consumption</t>
  </si>
  <si>
    <t>Primary Supply (Mining, Import/Export and total primary supply demand)</t>
  </si>
  <si>
    <t>Run name: DemoS_001</t>
  </si>
  <si>
    <t>Objective Function by Scenario</t>
  </si>
  <si>
    <t>_SysCost VEDA-BE table</t>
  </si>
  <si>
    <t>Crude Oil</t>
  </si>
  <si>
    <t>€/kWel</t>
  </si>
  <si>
    <r>
      <t>€/(kW</t>
    </r>
    <r>
      <rPr>
        <sz val="8"/>
        <color theme="1"/>
        <rFont val="Symbol"/>
        <family val="1"/>
        <charset val="2"/>
      </rPr>
      <t>×</t>
    </r>
    <r>
      <rPr>
        <sz val="8"/>
        <color theme="1"/>
        <rFont val="Arial"/>
        <family val="2"/>
      </rPr>
      <t>a)</t>
    </r>
  </si>
  <si>
    <t>VAROM</t>
  </si>
  <si>
    <t>Ctype</t>
  </si>
  <si>
    <t>Wskaźnik energii elektrycznej</t>
  </si>
  <si>
    <t>PRI_BIOG_AGR</t>
  </si>
  <si>
    <t>PRI_BIO_CH4_AGR</t>
  </si>
  <si>
    <t>AGR_DEM</t>
  </si>
  <si>
    <t>Biogas AGR</t>
  </si>
  <si>
    <t>Biometan AGR</t>
  </si>
  <si>
    <t>Agriculture Demand</t>
  </si>
  <si>
    <t>IPI</t>
  </si>
  <si>
    <t>PL</t>
  </si>
  <si>
    <t>AGR_LIV_MANURE_CAT_DAIRY</t>
  </si>
  <si>
    <t>Animal Manure - Dairy Cattle</t>
  </si>
  <si>
    <t>AGR_LIV_MANURE_CAT_NON-DAIRY</t>
  </si>
  <si>
    <t>Animal Manure - Non Dairy Cattle</t>
  </si>
  <si>
    <t>AGR_LIV_MANURE_SWINE</t>
  </si>
  <si>
    <t>Animal Manure - Swine</t>
  </si>
  <si>
    <t>AGR_LIV_MANURE_POULTRY</t>
  </si>
  <si>
    <t>Animal Manure - Poultry</t>
  </si>
  <si>
    <t>AGR_RESID_CROP_WHEAT</t>
  </si>
  <si>
    <t>Crop Residues</t>
  </si>
  <si>
    <t>AGR_RESID_CROP_BARLEY</t>
  </si>
  <si>
    <t>AGR_RESID_CROP_MAIZE</t>
  </si>
  <si>
    <t>AGR_RESID_CROP_CER-MIX</t>
  </si>
  <si>
    <t>AGR_RESID_CROP_TRITICALE</t>
  </si>
  <si>
    <t>AGR_RESID_CROP_OATS</t>
  </si>
  <si>
    <t>AGR_RESID_CROP_RYE</t>
  </si>
  <si>
    <t>AGR_RESID_CROP_MILL-BUCK</t>
  </si>
  <si>
    <t>MAT</t>
  </si>
  <si>
    <t>AGR_LIVESTOCK_FOOD</t>
  </si>
  <si>
    <t>Dummy Energy for Agriculture</t>
  </si>
  <si>
    <t>DUM</t>
  </si>
  <si>
    <t>AGR_LAND</t>
  </si>
  <si>
    <t>kha</t>
  </si>
  <si>
    <t>AGR_DUMMY_DMD_LAND</t>
  </si>
  <si>
    <t>Dummy Land Demand for Agriculture</t>
  </si>
  <si>
    <t>AGR_DUMMY_LAND_RESIDUES</t>
  </si>
  <si>
    <t>Dummy Crop Residues for Biogas Production</t>
  </si>
  <si>
    <t>AGR_DEM_LIV_CAT_DAIRY</t>
  </si>
  <si>
    <t>AGR_DEM_LIV_CAT_NON-DAIRY</t>
  </si>
  <si>
    <t>AGR_DEM_LIV_SWINE</t>
  </si>
  <si>
    <t>AGR_DEM_LIV_POULTRY</t>
  </si>
  <si>
    <t>AGR_DEM_CROP_WHEAT</t>
  </si>
  <si>
    <t>AGR_DEM_CROP_BARLEY</t>
  </si>
  <si>
    <t>AGR_DEM_CROP_MAIZE</t>
  </si>
  <si>
    <t>AGR_DEM_CROP_CER-MIX</t>
  </si>
  <si>
    <t>AGR_DEM_CROP_TRITICALE</t>
  </si>
  <si>
    <t>AGR_DEM_CROP_OATS</t>
  </si>
  <si>
    <t>AGR_DEM_CROP_RYE</t>
  </si>
  <si>
    <t>AGR_DEM_CROP_MILL-BUCK</t>
  </si>
  <si>
    <t>PRE</t>
  </si>
  <si>
    <t>DMD</t>
  </si>
  <si>
    <t>AGR_DEM_AGR</t>
  </si>
  <si>
    <t>Agriculture Demand Process</t>
  </si>
  <si>
    <t>Pja</t>
  </si>
  <si>
    <t>IPIa</t>
  </si>
  <si>
    <t>AGR_EX_BIOG</t>
  </si>
  <si>
    <t>Agriculture Existing Biogass</t>
  </si>
  <si>
    <t>mln m3</t>
  </si>
  <si>
    <t>AGR_EX_BIOG_CLEAN</t>
  </si>
  <si>
    <t>Agriculture Biogaz Cleaning</t>
  </si>
  <si>
    <t>AGR_IMP_DUMMY_FOOD_LIV</t>
  </si>
  <si>
    <t>Dummy Energy Import</t>
  </si>
  <si>
    <t>1000s of animals</t>
  </si>
  <si>
    <t>AGR_IMP_DUMMY_LAND</t>
  </si>
  <si>
    <t>Dummy Land Import</t>
  </si>
  <si>
    <t>kha/a</t>
  </si>
  <si>
    <t>AGR_EX_LIV_CAT_DAIRY</t>
  </si>
  <si>
    <t>AGR_LIV_CAT_DAIRY</t>
  </si>
  <si>
    <t>AGR_EX_LIV_CAT_NON-DAIRY</t>
  </si>
  <si>
    <t>AGR_LIV_CAT_NON-DAIRY</t>
  </si>
  <si>
    <t>AGR_EX_LIV_SWINE</t>
  </si>
  <si>
    <t>AGR_LIV_SWINE</t>
  </si>
  <si>
    <t>AGR_EX_LIV_POULTRY</t>
  </si>
  <si>
    <t>AGR_LIV_POULTRY</t>
  </si>
  <si>
    <t>AGR_EX_LIV_INDIRECT</t>
  </si>
  <si>
    <t>AGR_LAND_CROP_WHEAT</t>
  </si>
  <si>
    <t>AGR_LAND_CROP_BARLEY</t>
  </si>
  <si>
    <t>AGR_LAND_CROP_MAIZE</t>
  </si>
  <si>
    <t>AGR_LAND_CROP_CER-MIX</t>
  </si>
  <si>
    <t>AGR_LAND_CROP_TRITICALE</t>
  </si>
  <si>
    <t>AGR_LAND_CROP_OATS</t>
  </si>
  <si>
    <t>AGR_LAND_CROP_RYE</t>
  </si>
  <si>
    <t>AGR_LAND_CROP_MILL-BUCK</t>
  </si>
  <si>
    <t>*TechDesc</t>
  </si>
  <si>
    <t>Technology description</t>
  </si>
  <si>
    <t>* TechDesc</t>
  </si>
  <si>
    <t>Thousands Animals</t>
  </si>
  <si>
    <t>Input</t>
  </si>
  <si>
    <t>OUTPUT</t>
  </si>
  <si>
    <t>Cap2Act</t>
  </si>
  <si>
    <t>Fuel Input per 1000 Animals</t>
  </si>
  <si>
    <t>kt/1000 animals</t>
  </si>
  <si>
    <t>Animals per year</t>
  </si>
  <si>
    <t>k ha</t>
  </si>
  <si>
    <t>kha/kha</t>
  </si>
  <si>
    <t>kt/kha</t>
  </si>
  <si>
    <t>ACTFLO</t>
  </si>
  <si>
    <t/>
  </si>
  <si>
    <t>* Gross Calorific Value</t>
  </si>
  <si>
    <t>CEFF</t>
  </si>
  <si>
    <t>Share-I</t>
  </si>
  <si>
    <t>FLO_COST</t>
  </si>
  <si>
    <t>AFA~FX</t>
  </si>
  <si>
    <t>Share-I~0</t>
  </si>
  <si>
    <t>* Technology name</t>
  </si>
  <si>
    <t>Commodity input</t>
  </si>
  <si>
    <t>Commodity output</t>
  </si>
  <si>
    <t>mln m3 biogazu na rok</t>
  </si>
  <si>
    <t>MJ / m3</t>
  </si>
  <si>
    <t xml:space="preserve">PJ/mln m3 - </t>
  </si>
  <si>
    <t>PJ/mln m3</t>
  </si>
  <si>
    <t>kt animal manure / kt all manure</t>
  </si>
  <si>
    <t>kt/kt</t>
  </si>
  <si>
    <t>PLN 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</si>
</sst>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General_)"/>
    <numFmt numFmtId="165" formatCode="\Te\x\t"/>
  </numFmts>
  <fonts count="28">
    <font>
      <sz val="10"/>
      <name val="Arial"/>
    </font>
    <font>
      <sz val="10"/>
      <name val="Arial"/>
      <family val="2"/>
      <charset val="238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b/>
      <sz val="14"/>
      <color rgb="FFFF0000"/>
      <name val="Arial"/>
      <family val="2"/>
    </font>
    <font>
      <sz val="8"/>
      <color theme="1"/>
      <name val="Symbol"/>
      <family val="1"/>
      <charset val="2"/>
    </font>
    <font>
      <sz val="14"/>
      <color theme="1"/>
      <name val="Czcionka tekstu podstaw."/>
      <family val="2"/>
      <charset val="238"/>
    </font>
    <font>
      <sz val="10"/>
      <name val="Arial"/>
      <family val="2"/>
      <charset val="1"/>
    </font>
    <font>
      <sz val="14"/>
      <color theme="1"/>
      <name val="Calibri"/>
      <family val="2"/>
      <charset val="238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10" applyNumberFormat="0" applyAlignment="0" applyProtection="0"/>
    <xf numFmtId="43" fontId="12" fillId="0" borderId="0" applyFont="0" applyFill="0" applyBorder="0" applyAlignment="0" applyProtection="0"/>
    <xf numFmtId="0" fontId="15" fillId="7" borderId="0" applyNumberFormat="0" applyBorder="0" applyAlignment="0" applyProtection="0"/>
    <xf numFmtId="0" fontId="16" fillId="8" borderId="10" applyNumberFormat="0" applyAlignment="0" applyProtection="0"/>
    <xf numFmtId="0" fontId="17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7" fillId="0" borderId="0"/>
  </cellStyleXfs>
  <cellXfs count="139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1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3" fillId="5" borderId="0" xfId="3"/>
    <xf numFmtId="0" fontId="18" fillId="10" borderId="0" xfId="6" applyFont="1" applyFill="1"/>
    <xf numFmtId="0" fontId="19" fillId="3" borderId="3" xfId="1" applyFont="1" applyBorder="1" applyAlignment="1">
      <alignment horizontal="center" wrapText="1"/>
    </xf>
    <xf numFmtId="0" fontId="19" fillId="3" borderId="3" xfId="1" applyFont="1" applyBorder="1" applyAlignment="1">
      <alignment horizontal="left" wrapText="1"/>
    </xf>
    <xf numFmtId="0" fontId="19" fillId="3" borderId="1" xfId="1" applyFont="1" applyBorder="1" applyAlignment="1">
      <alignment horizontal="left" wrapText="1"/>
    </xf>
    <xf numFmtId="0" fontId="0" fillId="0" borderId="0" xfId="0" applyAlignment="1">
      <alignment wrapText="1"/>
    </xf>
    <xf numFmtId="0" fontId="20" fillId="0" borderId="0" xfId="0" applyFont="1"/>
    <xf numFmtId="0" fontId="4" fillId="0" borderId="5" xfId="0" applyFont="1" applyBorder="1"/>
    <xf numFmtId="0" fontId="4" fillId="0" borderId="6" xfId="0" applyFont="1" applyBorder="1"/>
    <xf numFmtId="9" fontId="21" fillId="0" borderId="6" xfId="16" applyFont="1" applyBorder="1" applyAlignment="1"/>
    <xf numFmtId="0" fontId="4" fillId="0" borderId="7" xfId="0" applyFont="1" applyBorder="1"/>
    <xf numFmtId="9" fontId="21" fillId="0" borderId="7" xfId="16" applyFont="1" applyBorder="1" applyAlignment="1"/>
    <xf numFmtId="9" fontId="21" fillId="0" borderId="0" xfId="16" applyFont="1" applyBorder="1" applyAlignment="1"/>
    <xf numFmtId="0" fontId="13" fillId="5" borderId="0" xfId="3" applyAlignment="1">
      <alignment wrapText="1"/>
    </xf>
    <xf numFmtId="0" fontId="3" fillId="0" borderId="0" xfId="0" applyFont="1"/>
    <xf numFmtId="1" fontId="4" fillId="0" borderId="0" xfId="9" applyNumberFormat="1"/>
    <xf numFmtId="0" fontId="3" fillId="0" borderId="2" xfId="0" applyFont="1" applyBorder="1" applyAlignment="1">
      <alignment horizontal="center" wrapText="1"/>
    </xf>
    <xf numFmtId="0" fontId="22" fillId="0" borderId="0" xfId="0" applyFont="1"/>
    <xf numFmtId="0" fontId="18" fillId="10" borderId="0" xfId="6" applyFont="1" applyFill="1" applyAlignment="1">
      <alignment horizontal="left"/>
    </xf>
    <xf numFmtId="1" fontId="0" fillId="11" borderId="0" xfId="0" applyNumberFormat="1" applyFill="1"/>
    <xf numFmtId="1" fontId="3" fillId="11" borderId="0" xfId="0" applyNumberFormat="1" applyFont="1" applyFill="1"/>
    <xf numFmtId="0" fontId="22" fillId="12" borderId="2" xfId="0" applyFont="1" applyFill="1" applyBorder="1" applyAlignment="1">
      <alignment wrapText="1"/>
    </xf>
    <xf numFmtId="0" fontId="3" fillId="12" borderId="2" xfId="0" applyFont="1" applyFill="1" applyBorder="1" applyAlignment="1">
      <alignment wrapText="1"/>
    </xf>
    <xf numFmtId="0" fontId="22" fillId="12" borderId="0" xfId="0" applyFont="1" applyFill="1"/>
    <xf numFmtId="1" fontId="0" fillId="13" borderId="0" xfId="0" applyNumberFormat="1" applyFill="1"/>
    <xf numFmtId="1" fontId="3" fillId="13" borderId="0" xfId="0" applyNumberFormat="1" applyFont="1" applyFill="1"/>
    <xf numFmtId="1" fontId="0" fillId="14" borderId="0" xfId="0" applyNumberFormat="1" applyFill="1"/>
    <xf numFmtId="1" fontId="0" fillId="14" borderId="2" xfId="0" applyNumberFormat="1" applyFill="1" applyBorder="1"/>
    <xf numFmtId="0" fontId="0" fillId="14" borderId="0" xfId="0" applyFill="1"/>
    <xf numFmtId="1" fontId="3" fillId="14" borderId="0" xfId="0" applyNumberFormat="1" applyFont="1" applyFill="1"/>
    <xf numFmtId="1" fontId="3" fillId="14" borderId="2" xfId="0" applyNumberFormat="1" applyFont="1" applyFill="1" applyBorder="1"/>
    <xf numFmtId="1" fontId="16" fillId="8" borderId="0" xfId="7" applyNumberFormat="1" applyBorder="1" applyAlignment="1"/>
    <xf numFmtId="1" fontId="14" fillId="6" borderId="4" xfId="4" applyNumberFormat="1" applyBorder="1" applyAlignment="1">
      <alignment horizontal="right"/>
    </xf>
    <xf numFmtId="1" fontId="16" fillId="8" borderId="4" xfId="7" applyNumberFormat="1" applyBorder="1" applyAlignment="1"/>
    <xf numFmtId="1" fontId="14" fillId="6" borderId="8" xfId="4" applyNumberFormat="1" applyBorder="1" applyAlignment="1">
      <alignment horizontal="right"/>
    </xf>
    <xf numFmtId="164" fontId="14" fillId="6" borderId="5" xfId="4" applyNumberFormat="1" applyBorder="1" applyAlignment="1">
      <alignment horizontal="right" vertical="center"/>
    </xf>
    <xf numFmtId="0" fontId="3" fillId="0" borderId="2" xfId="0" applyFont="1" applyBorder="1"/>
    <xf numFmtId="1" fontId="14" fillId="6" borderId="11" xfId="4" applyNumberFormat="1" applyBorder="1" applyAlignment="1">
      <alignment horizontal="right"/>
    </xf>
    <xf numFmtId="1" fontId="14" fillId="6" borderId="12" xfId="4" applyNumberFormat="1" applyBorder="1" applyAlignment="1">
      <alignment horizontal="right"/>
    </xf>
    <xf numFmtId="164" fontId="9" fillId="13" borderId="6" xfId="0" applyNumberFormat="1" applyFont="1" applyFill="1" applyBorder="1" applyAlignment="1">
      <alignment horizontal="left" vertical="center"/>
    </xf>
    <xf numFmtId="164" fontId="9" fillId="13" borderId="9" xfId="0" applyNumberFormat="1" applyFont="1" applyFill="1" applyBorder="1" applyAlignment="1">
      <alignment horizontal="left" vertical="center"/>
    </xf>
    <xf numFmtId="164" fontId="9" fillId="14" borderId="6" xfId="0" applyNumberFormat="1" applyFont="1" applyFill="1" applyBorder="1" applyAlignment="1">
      <alignment horizontal="left" vertical="center"/>
    </xf>
    <xf numFmtId="164" fontId="9" fillId="14" borderId="9" xfId="0" applyNumberFormat="1" applyFont="1" applyFill="1" applyBorder="1" applyAlignment="1">
      <alignment horizontal="left" vertical="center"/>
    </xf>
    <xf numFmtId="164" fontId="9" fillId="14" borderId="7" xfId="0" applyNumberFormat="1" applyFont="1" applyFill="1" applyBorder="1" applyAlignment="1">
      <alignment horizontal="left" vertical="center"/>
    </xf>
    <xf numFmtId="0" fontId="23" fillId="0" borderId="0" xfId="0" applyFont="1"/>
    <xf numFmtId="0" fontId="3" fillId="16" borderId="0" xfId="0" applyFont="1" applyFill="1"/>
    <xf numFmtId="0" fontId="18" fillId="10" borderId="0" xfId="6" applyFont="1" applyFill="1" applyAlignment="1">
      <alignment wrapText="1"/>
    </xf>
    <xf numFmtId="0" fontId="18" fillId="0" borderId="0" xfId="6" applyFont="1" applyFill="1"/>
    <xf numFmtId="0" fontId="4" fillId="0" borderId="0" xfId="11" applyAlignment="1">
      <alignment horizontal="left"/>
    </xf>
    <xf numFmtId="0" fontId="4" fillId="0" borderId="0" xfId="11" applyAlignment="1">
      <alignment horizontal="right"/>
    </xf>
    <xf numFmtId="0" fontId="3" fillId="2" borderId="1" xfId="11" applyFont="1" applyFill="1" applyBorder="1" applyAlignment="1">
      <alignment horizontal="left" vertical="center"/>
    </xf>
    <xf numFmtId="0" fontId="13" fillId="4" borderId="0" xfId="2"/>
    <xf numFmtId="0" fontId="0" fillId="0" borderId="4" xfId="0" applyBorder="1"/>
    <xf numFmtId="1" fontId="16" fillId="8" borderId="1" xfId="7" applyNumberFormat="1" applyBorder="1" applyAlignment="1"/>
    <xf numFmtId="1" fontId="14" fillId="6" borderId="13" xfId="4" applyNumberFormat="1" applyBorder="1" applyAlignment="1">
      <alignment horizontal="right"/>
    </xf>
    <xf numFmtId="164" fontId="8" fillId="0" borderId="5" xfId="0" applyNumberFormat="1" applyFont="1" applyBorder="1" applyAlignment="1">
      <alignment horizontal="left" vertical="center"/>
    </xf>
    <xf numFmtId="164" fontId="9" fillId="11" borderId="9" xfId="0" applyNumberFormat="1" applyFont="1" applyFill="1" applyBorder="1" applyAlignment="1">
      <alignment horizontal="left" vertical="center"/>
    </xf>
    <xf numFmtId="164" fontId="8" fillId="0" borderId="7" xfId="0" applyNumberFormat="1" applyFont="1" applyBorder="1" applyAlignment="1">
      <alignment horizontal="left" vertical="center"/>
    </xf>
    <xf numFmtId="0" fontId="19" fillId="3" borderId="4" xfId="1" applyFont="1" applyBorder="1" applyAlignment="1">
      <alignment horizontal="left" wrapText="1"/>
    </xf>
    <xf numFmtId="0" fontId="3" fillId="2" borderId="1" xfId="11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9" fillId="0" borderId="0" xfId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165" fontId="5" fillId="0" borderId="0" xfId="0" applyNumberFormat="1" applyFont="1"/>
    <xf numFmtId="165" fontId="4" fillId="0" borderId="0" xfId="0" applyNumberFormat="1" applyFont="1"/>
    <xf numFmtId="165" fontId="3" fillId="2" borderId="1" xfId="0" applyNumberFormat="1" applyFont="1" applyFill="1" applyBorder="1" applyAlignment="1">
      <alignment horizontal="left"/>
    </xf>
    <xf numFmtId="165" fontId="3" fillId="2" borderId="4" xfId="0" applyNumberFormat="1" applyFont="1" applyFill="1" applyBorder="1" applyAlignment="1">
      <alignment horizontal="left"/>
    </xf>
    <xf numFmtId="165" fontId="19" fillId="3" borderId="3" xfId="1" applyNumberFormat="1" applyFont="1" applyBorder="1" applyAlignment="1">
      <alignment horizontal="left" wrapText="1"/>
    </xf>
    <xf numFmtId="165" fontId="0" fillId="0" borderId="0" xfId="0" applyNumberFormat="1"/>
    <xf numFmtId="165" fontId="3" fillId="2" borderId="1" xfId="0" applyNumberFormat="1" applyFont="1" applyFill="1" applyBorder="1" applyAlignment="1">
      <alignment horizontal="center" vertical="center"/>
    </xf>
    <xf numFmtId="165" fontId="19" fillId="3" borderId="1" xfId="1" applyNumberFormat="1" applyFont="1" applyBorder="1" applyAlignment="1">
      <alignment horizontal="left" wrapText="1"/>
    </xf>
    <xf numFmtId="165" fontId="4" fillId="17" borderId="1" xfId="9" applyNumberFormat="1" applyFill="1" applyBorder="1" applyAlignment="1">
      <alignment horizontal="center" vertical="center" wrapText="1"/>
    </xf>
    <xf numFmtId="0" fontId="0" fillId="0" borderId="0" xfId="0" applyBorder="1"/>
    <xf numFmtId="0" fontId="1" fillId="18" borderId="0" xfId="0" applyFont="1" applyFill="1" applyBorder="1"/>
    <xf numFmtId="0" fontId="1" fillId="19" borderId="0" xfId="0" applyFont="1" applyFill="1" applyBorder="1"/>
    <xf numFmtId="0" fontId="0" fillId="20" borderId="0" xfId="0" applyFill="1" applyBorder="1"/>
    <xf numFmtId="0" fontId="1" fillId="20" borderId="0" xfId="0" applyFont="1" applyFill="1" applyBorder="1"/>
    <xf numFmtId="0" fontId="1" fillId="19" borderId="1" xfId="0" applyFont="1" applyFill="1" applyBorder="1"/>
    <xf numFmtId="0" fontId="1" fillId="22" borderId="14" xfId="23" applyFill="1" applyBorder="1"/>
    <xf numFmtId="0" fontId="1" fillId="19" borderId="15" xfId="0" applyFont="1" applyFill="1" applyBorder="1"/>
    <xf numFmtId="0" fontId="1" fillId="19" borderId="16" xfId="0" applyFont="1" applyFill="1" applyBorder="1"/>
    <xf numFmtId="0" fontId="1" fillId="18" borderId="17" xfId="0" applyFont="1" applyFill="1" applyBorder="1"/>
    <xf numFmtId="0" fontId="1" fillId="18" borderId="18" xfId="0" applyFont="1" applyFill="1" applyBorder="1"/>
    <xf numFmtId="0" fontId="1" fillId="19" borderId="17" xfId="0" applyFont="1" applyFill="1" applyBorder="1"/>
    <xf numFmtId="0" fontId="1" fillId="19" borderId="18" xfId="0" applyFont="1" applyFill="1" applyBorder="1"/>
    <xf numFmtId="0" fontId="1" fillId="19" borderId="19" xfId="0" applyFont="1" applyFill="1" applyBorder="1"/>
    <xf numFmtId="0" fontId="1" fillId="19" borderId="2" xfId="0" applyFont="1" applyFill="1" applyBorder="1"/>
    <xf numFmtId="0" fontId="1" fillId="19" borderId="20" xfId="0" applyFont="1" applyFill="1" applyBorder="1"/>
    <xf numFmtId="0" fontId="1" fillId="18" borderId="19" xfId="0" applyFont="1" applyFill="1" applyBorder="1"/>
    <xf numFmtId="0" fontId="1" fillId="18" borderId="2" xfId="0" applyFont="1" applyFill="1" applyBorder="1"/>
    <xf numFmtId="0" fontId="1" fillId="18" borderId="20" xfId="0" applyFont="1" applyFill="1" applyBorder="1"/>
    <xf numFmtId="0" fontId="19" fillId="3" borderId="0" xfId="1" applyFont="1" applyBorder="1" applyAlignment="1">
      <alignment horizontal="center" wrapText="1"/>
    </xf>
    <xf numFmtId="0" fontId="1" fillId="23" borderId="1" xfId="23" applyFill="1" applyBorder="1"/>
    <xf numFmtId="0" fontId="19" fillId="3" borderId="1" xfId="1" applyFont="1" applyBorder="1" applyAlignment="1">
      <alignment horizontal="center" wrapText="1"/>
    </xf>
    <xf numFmtId="0" fontId="1" fillId="23" borderId="0" xfId="23" applyFill="1" applyBorder="1"/>
    <xf numFmtId="0" fontId="1" fillId="19" borderId="0" xfId="23" applyFill="1" applyBorder="1"/>
    <xf numFmtId="0" fontId="1" fillId="0" borderId="0" xfId="23" applyBorder="1"/>
    <xf numFmtId="0" fontId="1" fillId="23" borderId="0" xfId="0" applyFont="1" applyFill="1" applyBorder="1"/>
    <xf numFmtId="0" fontId="1" fillId="24" borderId="0" xfId="23" applyFill="1" applyBorder="1"/>
    <xf numFmtId="0" fontId="1" fillId="24" borderId="0" xfId="0" applyFont="1" applyFill="1" applyBorder="1"/>
    <xf numFmtId="0" fontId="1" fillId="25" borderId="0" xfId="23" applyFill="1" applyBorder="1"/>
    <xf numFmtId="0" fontId="1" fillId="26" borderId="0" xfId="23" applyFill="1" applyBorder="1"/>
    <xf numFmtId="0" fontId="1" fillId="26" borderId="0" xfId="0" applyFont="1" applyFill="1" applyBorder="1"/>
    <xf numFmtId="0" fontId="1" fillId="18" borderId="0" xfId="23" applyFill="1" applyBorder="1"/>
    <xf numFmtId="0" fontId="1" fillId="20" borderId="0" xfId="23" applyFill="1" applyBorder="1"/>
    <xf numFmtId="4" fontId="1" fillId="23" borderId="1" xfId="23" applyNumberFormat="1" applyFill="1" applyBorder="1"/>
    <xf numFmtId="0" fontId="1" fillId="23" borderId="16" xfId="23" applyFill="1" applyBorder="1"/>
    <xf numFmtId="0" fontId="1" fillId="23" borderId="18" xfId="23" applyFill="1" applyBorder="1"/>
    <xf numFmtId="4" fontId="1" fillId="23" borderId="0" xfId="23" applyNumberFormat="1" applyFill="1" applyBorder="1"/>
    <xf numFmtId="0" fontId="1" fillId="27" borderId="0" xfId="23" applyFill="1" applyBorder="1"/>
    <xf numFmtId="2" fontId="1" fillId="25" borderId="0" xfId="23" applyNumberFormat="1" applyFill="1" applyBorder="1"/>
    <xf numFmtId="0" fontId="1" fillId="26" borderId="2" xfId="23" applyFill="1" applyBorder="1"/>
    <xf numFmtId="0" fontId="1" fillId="21" borderId="15" xfId="23" applyFill="1" applyBorder="1"/>
    <xf numFmtId="0" fontId="1" fillId="21" borderId="17" xfId="23" applyFill="1" applyBorder="1"/>
    <xf numFmtId="0" fontId="1" fillId="21" borderId="19" xfId="23" applyFill="1" applyBorder="1"/>
    <xf numFmtId="0" fontId="1" fillId="21" borderId="0" xfId="23" applyFill="1" applyBorder="1"/>
    <xf numFmtId="0" fontId="1" fillId="21" borderId="2" xfId="23" applyFill="1" applyBorder="1"/>
    <xf numFmtId="0" fontId="1" fillId="21" borderId="1" xfId="23" applyFill="1" applyBorder="1"/>
    <xf numFmtId="0" fontId="1" fillId="21" borderId="20" xfId="23" applyFill="1" applyBorder="1"/>
    <xf numFmtId="0" fontId="1" fillId="21" borderId="18" xfId="23" applyFill="1" applyBorder="1"/>
    <xf numFmtId="0" fontId="1" fillId="21" borderId="0" xfId="23" quotePrefix="1" applyFill="1" applyBorder="1"/>
    <xf numFmtId="0" fontId="0" fillId="0" borderId="15" xfId="0" applyBorder="1"/>
    <xf numFmtId="0" fontId="0" fillId="0" borderId="1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16" borderId="2" xfId="0" applyFill="1" applyBorder="1"/>
    <xf numFmtId="0" fontId="0" fillId="0" borderId="20" xfId="0" applyBorder="1"/>
    <xf numFmtId="0" fontId="4" fillId="0" borderId="0" xfId="0" applyFont="1" applyBorder="1"/>
    <xf numFmtId="1" fontId="4" fillId="15" borderId="0" xfId="8" applyNumberFormat="1" applyFont="1" applyFill="1" applyBorder="1"/>
  </cellXfs>
  <cellStyles count="27">
    <cellStyle name="20% — akcent 5" xfId="1" builtinId="46"/>
    <cellStyle name="60% — akcent 2" xfId="2" builtinId="36"/>
    <cellStyle name="Akcent 2" xfId="3" builtinId="33"/>
    <cellStyle name="Comma 2" xfId="5" xr:uid="{00000000-0005-0000-0000-000004000000}"/>
    <cellStyle name="Dane wejściowe" xfId="7" builtinId="20"/>
    <cellStyle name="Dobry" xfId="6" builtinId="26"/>
    <cellStyle name="Neutralny" xfId="8" builtinId="28"/>
    <cellStyle name="Normal 10" xfId="9" xr:uid="{00000000-0005-0000-0000-000009000000}"/>
    <cellStyle name="Normal 10 2" xfId="21" xr:uid="{5FF9E568-959D-4ED9-B546-1289345A4812}"/>
    <cellStyle name="Normal 2" xfId="10" xr:uid="{00000000-0005-0000-0000-00000A000000}"/>
    <cellStyle name="Normal 2 2" xfId="24" xr:uid="{6E8C98F7-D607-4ED8-9830-9C2429218A93}"/>
    <cellStyle name="Normal 4" xfId="11" xr:uid="{00000000-0005-0000-0000-00000B000000}"/>
    <cellStyle name="Normal 4 2" xfId="12" xr:uid="{00000000-0005-0000-0000-00000C000000}"/>
    <cellStyle name="Normal 74" xfId="25" xr:uid="{2FB5064C-A755-4177-B6D8-6855020C01D7}"/>
    <cellStyle name="Normal 8" xfId="13" xr:uid="{00000000-0005-0000-0000-00000D000000}"/>
    <cellStyle name="Normal 9 2" xfId="14" xr:uid="{00000000-0005-0000-0000-00000E000000}"/>
    <cellStyle name="Normale_B2020" xfId="15" xr:uid="{00000000-0005-0000-0000-00000F000000}"/>
    <cellStyle name="Normalny" xfId="0" builtinId="0"/>
    <cellStyle name="Normalny 10 10" xfId="23" xr:uid="{A5A825A0-F980-4A58-B884-DD2355C75254}"/>
    <cellStyle name="Normalny 2" xfId="22" xr:uid="{CA59CD0B-CA41-4867-9392-699A90A2F8E1}"/>
    <cellStyle name="Normalny 43 2" xfId="26" xr:uid="{F1CD2000-634E-41A4-9FA0-9F8773B54FD1}"/>
    <cellStyle name="Obliczenia" xfId="4" builtinId="22"/>
    <cellStyle name="Percent 2" xfId="17" xr:uid="{00000000-0005-0000-0000-000011000000}"/>
    <cellStyle name="Percent 3" xfId="18" xr:uid="{00000000-0005-0000-0000-000012000000}"/>
    <cellStyle name="Percent 4" xfId="19" xr:uid="{00000000-0005-0000-0000-000013000000}"/>
    <cellStyle name="Procentowy" xfId="16" builtinId="5"/>
    <cellStyle name="Standard_Sce_D_Extraction" xfId="20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699557</xdr:colOff>
      <xdr:row>26</xdr:row>
      <xdr:rowOff>11430</xdr:rowOff>
    </xdr:from>
    <xdr:to>
      <xdr:col>11</xdr:col>
      <xdr:colOff>699579</xdr:colOff>
      <xdr:row>31</xdr:row>
      <xdr:rowOff>148516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54FD63-60E6-4767-B378-86CE61C6FB61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5 are used to build  techology and commodity names and descriptions in the model.</a:t>
          </a:r>
          <a:endParaRPr lang="en-GB" sz="1100"/>
        </a:p>
      </xdr:txBody>
    </xdr:sp>
    <xdr:clientData/>
  </xdr:twoCellAnchor>
  <xdr:twoCellAnchor>
    <xdr:from>
      <xdr:col>7</xdr:col>
      <xdr:colOff>24340</xdr:colOff>
      <xdr:row>33</xdr:row>
      <xdr:rowOff>166159</xdr:rowOff>
    </xdr:from>
    <xdr:to>
      <xdr:col>13</xdr:col>
      <xdr:colOff>39383</xdr:colOff>
      <xdr:row>38</xdr:row>
      <xdr:rowOff>36819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0E7F65-5119-4650-B5C2-821A0202B5DC}"/>
            </a:ext>
          </a:extLst>
        </xdr:cNvPr>
        <xdr:cNvSpPr txBox="1"/>
      </xdr:nvSpPr>
      <xdr:spPr>
        <a:xfrm>
          <a:off x="5888565" y="6091767"/>
          <a:ext cx="4334935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19050</xdr:rowOff>
    </xdr:from>
    <xdr:to>
      <xdr:col>2</xdr:col>
      <xdr:colOff>285750</xdr:colOff>
      <xdr:row>29</xdr:row>
      <xdr:rowOff>152400</xdr:rowOff>
    </xdr:to>
    <xdr:pic>
      <xdr:nvPicPr>
        <xdr:cNvPr id="55000" name="Picture 6">
          <a:extLst>
            <a:ext uri="{FF2B5EF4-FFF2-40B4-BE49-F238E27FC236}">
              <a16:creationId xmlns:a16="http://schemas.microsoft.com/office/drawing/2014/main" id="{A8EE95EE-CAF2-4CCA-BF63-C24FE5C7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80987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9525</xdr:rowOff>
    </xdr:from>
    <xdr:to>
      <xdr:col>19</xdr:col>
      <xdr:colOff>66675</xdr:colOff>
      <xdr:row>138</xdr:row>
      <xdr:rowOff>133350</xdr:rowOff>
    </xdr:to>
    <xdr:pic>
      <xdr:nvPicPr>
        <xdr:cNvPr id="55001" name="Picture 8">
          <a:extLst>
            <a:ext uri="{FF2B5EF4-FFF2-40B4-BE49-F238E27FC236}">
              <a16:creationId xmlns:a16="http://schemas.microsoft.com/office/drawing/2014/main" id="{3E49606E-175D-4BCB-AAC7-477983161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20774025"/>
          <a:ext cx="408622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10</xdr:col>
      <xdr:colOff>295275</xdr:colOff>
      <xdr:row>57</xdr:row>
      <xdr:rowOff>19050</xdr:rowOff>
    </xdr:to>
    <xdr:pic>
      <xdr:nvPicPr>
        <xdr:cNvPr id="55002" name="Picture 1">
          <a:extLst>
            <a:ext uri="{FF2B5EF4-FFF2-40B4-BE49-F238E27FC236}">
              <a16:creationId xmlns:a16="http://schemas.microsoft.com/office/drawing/2014/main" id="{17736024-F2ED-4ACF-9341-E965F9406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7972425"/>
          <a:ext cx="273367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17</xdr:row>
      <xdr:rowOff>28575</xdr:rowOff>
    </xdr:from>
    <xdr:to>
      <xdr:col>8</xdr:col>
      <xdr:colOff>171450</xdr:colOff>
      <xdr:row>30</xdr:row>
      <xdr:rowOff>76200</xdr:rowOff>
    </xdr:to>
    <xdr:pic>
      <xdr:nvPicPr>
        <xdr:cNvPr id="55003" name="Picture 3">
          <a:extLst>
            <a:ext uri="{FF2B5EF4-FFF2-40B4-BE49-F238E27FC236}">
              <a16:creationId xmlns:a16="http://schemas.microsoft.com/office/drawing/2014/main" id="{A8E9394C-7511-41D1-9C2B-0F9B07025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81325"/>
          <a:ext cx="320040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561975</xdr:colOff>
      <xdr:row>2</xdr:row>
      <xdr:rowOff>114300</xdr:rowOff>
    </xdr:from>
    <xdr:to>
      <xdr:col>8</xdr:col>
      <xdr:colOff>257175</xdr:colOff>
      <xdr:row>11</xdr:row>
      <xdr:rowOff>76200</xdr:rowOff>
    </xdr:to>
    <xdr:pic>
      <xdr:nvPicPr>
        <xdr:cNvPr id="55004" name="Picture 1">
          <a:extLst>
            <a:ext uri="{FF2B5EF4-FFF2-40B4-BE49-F238E27FC236}">
              <a16:creationId xmlns:a16="http://schemas.microsoft.com/office/drawing/2014/main" id="{8DD8EDA5-CAB9-4317-A46E-C293D1899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504825"/>
          <a:ext cx="274320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600075</xdr:colOff>
      <xdr:row>3</xdr:row>
      <xdr:rowOff>76200</xdr:rowOff>
    </xdr:from>
    <xdr:to>
      <xdr:col>16</xdr:col>
      <xdr:colOff>200025</xdr:colOff>
      <xdr:row>11</xdr:row>
      <xdr:rowOff>85725</xdr:rowOff>
    </xdr:to>
    <xdr:pic>
      <xdr:nvPicPr>
        <xdr:cNvPr id="55005" name="Picture 2">
          <a:extLst>
            <a:ext uri="{FF2B5EF4-FFF2-40B4-BE49-F238E27FC236}">
              <a16:creationId xmlns:a16="http://schemas.microsoft.com/office/drawing/2014/main" id="{D6060F44-F29C-4C89-9B35-19CF51A91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695325"/>
          <a:ext cx="34575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9"/>
  <sheetViews>
    <sheetView zoomScale="90" zoomScaleNormal="90" workbookViewId="0">
      <selection activeCell="F4" sqref="F4"/>
    </sheetView>
  </sheetViews>
  <sheetFormatPr defaultRowHeight="13.2"/>
  <cols>
    <col min="1" max="1" width="3" bestFit="1" customWidth="1"/>
    <col min="2" max="2" width="5.44140625" bestFit="1" customWidth="1"/>
    <col min="3" max="3" width="40.109375" bestFit="1" customWidth="1"/>
    <col min="4" max="5" width="13.33203125" customWidth="1"/>
    <col min="6" max="6" width="15.44140625" customWidth="1"/>
    <col min="7" max="11" width="13.33203125" customWidth="1"/>
    <col min="12" max="12" width="10.5546875" customWidth="1"/>
    <col min="13" max="13" width="10.88671875" customWidth="1"/>
    <col min="14" max="14" width="15.5546875" bestFit="1" customWidth="1"/>
    <col min="15" max="15" width="2" bestFit="1" customWidth="1"/>
    <col min="16" max="16" width="12.33203125" bestFit="1" customWidth="1"/>
    <col min="18" max="18" width="6.6640625" bestFit="1" customWidth="1"/>
    <col min="19" max="19" width="9.33203125" bestFit="1" customWidth="1"/>
    <col min="20" max="20" width="2" bestFit="1" customWidth="1"/>
  </cols>
  <sheetData>
    <row r="1" spans="2:19">
      <c r="P1" s="14" t="s">
        <v>99</v>
      </c>
      <c r="Q1" s="1" t="s">
        <v>100</v>
      </c>
      <c r="R1" s="1" t="s">
        <v>101</v>
      </c>
      <c r="S1" s="1" t="s">
        <v>102</v>
      </c>
    </row>
    <row r="2" spans="2:19" ht="15.6">
      <c r="D2" s="29" t="s">
        <v>36</v>
      </c>
      <c r="E2" s="29" t="s">
        <v>37</v>
      </c>
      <c r="F2" s="29" t="s">
        <v>38</v>
      </c>
      <c r="G2" s="29" t="s">
        <v>39</v>
      </c>
      <c r="H2" s="29" t="s">
        <v>40</v>
      </c>
      <c r="I2" s="29" t="s">
        <v>41</v>
      </c>
      <c r="J2" s="29" t="s">
        <v>42</v>
      </c>
      <c r="K2" s="29" t="s">
        <v>43</v>
      </c>
      <c r="L2" s="22"/>
      <c r="Q2" s="26" t="s">
        <v>108</v>
      </c>
      <c r="R2" s="9" t="s">
        <v>86</v>
      </c>
      <c r="S2" s="9" t="s">
        <v>103</v>
      </c>
    </row>
    <row r="3" spans="2:19" ht="26.4">
      <c r="C3" s="6"/>
      <c r="D3" s="30" t="s">
        <v>44</v>
      </c>
      <c r="E3" s="30" t="s">
        <v>45</v>
      </c>
      <c r="F3" s="30" t="s">
        <v>126</v>
      </c>
      <c r="G3" s="30" t="s">
        <v>46</v>
      </c>
      <c r="H3" s="30" t="s">
        <v>47</v>
      </c>
      <c r="I3" s="30" t="s">
        <v>48</v>
      </c>
      <c r="J3" s="30" t="s">
        <v>49</v>
      </c>
      <c r="K3" s="30" t="s">
        <v>95</v>
      </c>
      <c r="L3" s="24" t="s">
        <v>50</v>
      </c>
    </row>
    <row r="4" spans="2:19">
      <c r="C4" s="63" t="s">
        <v>51</v>
      </c>
      <c r="E4" s="60"/>
      <c r="F4" s="60"/>
      <c r="G4" s="6"/>
      <c r="H4" s="6"/>
      <c r="I4" s="6"/>
      <c r="J4" s="6"/>
      <c r="K4" s="6"/>
      <c r="L4" s="6"/>
    </row>
    <row r="5" spans="2:19" ht="14.4">
      <c r="B5" s="31" t="s">
        <v>52</v>
      </c>
      <c r="C5" s="64" t="s">
        <v>53</v>
      </c>
      <c r="D5" s="61">
        <v>8098.3580000000002</v>
      </c>
      <c r="E5" s="27">
        <v>7899.4970000000003</v>
      </c>
      <c r="F5" s="27">
        <v>5378.5119999999997</v>
      </c>
      <c r="G5" s="27">
        <v>10775.148999999999</v>
      </c>
      <c r="H5" s="27">
        <v>5026.6000000000004</v>
      </c>
      <c r="I5" s="27">
        <v>0</v>
      </c>
      <c r="J5" s="27">
        <v>0</v>
      </c>
      <c r="K5" s="27">
        <v>0</v>
      </c>
      <c r="L5" s="28">
        <f>SUM(D5:K5)</f>
        <v>37178.115999999995</v>
      </c>
      <c r="P5" s="7"/>
    </row>
    <row r="6" spans="2:19" ht="14.4">
      <c r="B6" s="31" t="s">
        <v>54</v>
      </c>
      <c r="C6" s="64" t="s">
        <v>55</v>
      </c>
      <c r="D6" s="39">
        <v>6462.6710000000003</v>
      </c>
      <c r="E6" s="27">
        <v>13291.728999999999</v>
      </c>
      <c r="F6" s="27">
        <v>39959.980000000003</v>
      </c>
      <c r="G6" s="27">
        <v>0</v>
      </c>
      <c r="H6" s="27">
        <v>113.01900000000001</v>
      </c>
      <c r="I6" s="27">
        <v>7.0000000000000001E-3</v>
      </c>
      <c r="J6" s="27">
        <v>0.153</v>
      </c>
      <c r="K6" s="27">
        <v>1167.52</v>
      </c>
      <c r="L6" s="28">
        <f>SUM(D6:K6)</f>
        <v>60995.078999999998</v>
      </c>
    </row>
    <row r="7" spans="2:19" ht="14.4">
      <c r="B7" s="31" t="s">
        <v>56</v>
      </c>
      <c r="C7" s="64" t="s">
        <v>57</v>
      </c>
      <c r="D7" s="39">
        <v>-1147.069</v>
      </c>
      <c r="E7" s="27">
        <v>-2516.3310000000001</v>
      </c>
      <c r="F7" s="27">
        <v>-14830.662</v>
      </c>
      <c r="G7" s="27">
        <v>0</v>
      </c>
      <c r="H7" s="27">
        <v>-72.403999999999996</v>
      </c>
      <c r="I7" s="27">
        <v>0</v>
      </c>
      <c r="J7" s="27">
        <v>-0.129</v>
      </c>
      <c r="K7" s="27">
        <v>-1126.8040000000001</v>
      </c>
      <c r="L7" s="28">
        <f>SUM(D7:K7)</f>
        <v>-19693.399000000001</v>
      </c>
      <c r="P7" s="7"/>
    </row>
    <row r="8" spans="2:19" ht="14.4">
      <c r="B8" s="59" t="s">
        <v>119</v>
      </c>
      <c r="C8" s="43" t="s">
        <v>120</v>
      </c>
      <c r="D8" s="41">
        <f t="shared" ref="D8:L8" si="0">SUM(D5:D7)</f>
        <v>13413.960000000001</v>
      </c>
      <c r="E8" s="45">
        <f t="shared" si="0"/>
        <v>18674.894999999997</v>
      </c>
      <c r="F8" s="45">
        <f t="shared" si="0"/>
        <v>30507.830000000005</v>
      </c>
      <c r="G8" s="45">
        <f t="shared" si="0"/>
        <v>10775.148999999999</v>
      </c>
      <c r="H8" s="45">
        <f t="shared" si="0"/>
        <v>5067.2150000000001</v>
      </c>
      <c r="I8" s="45">
        <f t="shared" si="0"/>
        <v>7.0000000000000001E-3</v>
      </c>
      <c r="J8" s="45">
        <f t="shared" si="0"/>
        <v>2.3999999999999994E-2</v>
      </c>
      <c r="K8" s="45">
        <f t="shared" si="0"/>
        <v>40.715999999999894</v>
      </c>
      <c r="L8" s="46">
        <f t="shared" si="0"/>
        <v>78479.795999999988</v>
      </c>
    </row>
    <row r="9" spans="2:19">
      <c r="B9" s="25"/>
      <c r="C9" s="65" t="s">
        <v>58</v>
      </c>
      <c r="D9" s="6"/>
      <c r="E9" s="6"/>
      <c r="F9" s="6"/>
      <c r="G9" s="6"/>
      <c r="H9" s="6"/>
      <c r="I9" s="6"/>
      <c r="J9" s="6"/>
      <c r="K9" s="6"/>
      <c r="L9" s="44"/>
    </row>
    <row r="10" spans="2:19">
      <c r="B10" s="31" t="s">
        <v>59</v>
      </c>
      <c r="C10" s="47" t="s">
        <v>60</v>
      </c>
      <c r="D10" s="32">
        <v>-57.637999999999998</v>
      </c>
      <c r="E10" s="32">
        <v>-792.98</v>
      </c>
      <c r="F10" s="32">
        <v>-1848.605</v>
      </c>
      <c r="G10" s="32">
        <v>0</v>
      </c>
      <c r="H10" s="32">
        <v>-4.2830000000000004</v>
      </c>
      <c r="I10" s="32">
        <v>-1.52</v>
      </c>
      <c r="J10" s="32">
        <v>0</v>
      </c>
      <c r="K10" s="32">
        <v>0</v>
      </c>
      <c r="L10" s="33">
        <f>SUM(D10:K10)</f>
        <v>-2705.0259999999998</v>
      </c>
    </row>
    <row r="11" spans="2:19">
      <c r="B11" s="31" t="s">
        <v>43</v>
      </c>
      <c r="C11" s="48" t="s">
        <v>61</v>
      </c>
      <c r="D11" s="32">
        <v>-9598.1200000000008</v>
      </c>
      <c r="E11" s="32">
        <v>-5635.5439999999999</v>
      </c>
      <c r="F11" s="32">
        <v>-1224.6089999999999</v>
      </c>
      <c r="G11" s="32">
        <v>-10775.148999999999</v>
      </c>
      <c r="H11" s="32">
        <v>-1255.692</v>
      </c>
      <c r="I11" s="32">
        <v>-32.948999999999998</v>
      </c>
      <c r="J11" s="32">
        <v>1737.559</v>
      </c>
      <c r="K11" s="32">
        <v>11581</v>
      </c>
      <c r="L11" s="33">
        <f>SUM(D11:K11)</f>
        <v>-15203.503999999997</v>
      </c>
    </row>
    <row r="12" spans="2:19">
      <c r="B12" s="31" t="s">
        <v>62</v>
      </c>
      <c r="C12" s="48" t="s">
        <v>63</v>
      </c>
      <c r="D12" s="32">
        <v>-161.39599999999999</v>
      </c>
      <c r="E12" s="32">
        <v>-301.30099999999999</v>
      </c>
      <c r="F12" s="32">
        <v>-49.649000000000001</v>
      </c>
      <c r="G12" s="32">
        <v>0</v>
      </c>
      <c r="H12" s="32">
        <v>-140.20699999999999</v>
      </c>
      <c r="I12" s="32">
        <v>-1.569</v>
      </c>
      <c r="J12" s="32">
        <v>658.74300000000005</v>
      </c>
      <c r="K12" s="32">
        <v>0</v>
      </c>
      <c r="L12" s="33">
        <f>SUM(D12:K12)</f>
        <v>4.6210000000000946</v>
      </c>
    </row>
    <row r="13" spans="2:19">
      <c r="B13" s="31" t="s">
        <v>64</v>
      </c>
      <c r="C13" s="48" t="s">
        <v>65</v>
      </c>
      <c r="D13" s="32"/>
      <c r="E13" s="32"/>
      <c r="F13" s="32">
        <v>-31736.460999999999</v>
      </c>
      <c r="G13" s="32"/>
      <c r="H13" s="32"/>
      <c r="I13" s="32"/>
      <c r="J13" s="32"/>
      <c r="K13" s="32"/>
      <c r="L13" s="33">
        <f>SUM(D13:K13)</f>
        <v>-31736.460999999999</v>
      </c>
    </row>
    <row r="14" spans="2:19" ht="14.4">
      <c r="B14" s="25"/>
      <c r="C14" s="43" t="s">
        <v>66</v>
      </c>
      <c r="D14" s="62">
        <f t="shared" ref="D14:L14" si="1">SUM(D10:D13)</f>
        <v>-9817.1540000000023</v>
      </c>
      <c r="E14" s="45">
        <f t="shared" si="1"/>
        <v>-6729.8249999999998</v>
      </c>
      <c r="F14" s="45">
        <f t="shared" si="1"/>
        <v>-34859.324000000001</v>
      </c>
      <c r="G14" s="45">
        <f t="shared" si="1"/>
        <v>-10775.148999999999</v>
      </c>
      <c r="H14" s="45">
        <f t="shared" si="1"/>
        <v>-1400.1819999999998</v>
      </c>
      <c r="I14" s="45">
        <f t="shared" si="1"/>
        <v>-36.038000000000004</v>
      </c>
      <c r="J14" s="45">
        <f t="shared" si="1"/>
        <v>2396.3020000000001</v>
      </c>
      <c r="K14" s="45">
        <f t="shared" si="1"/>
        <v>11581</v>
      </c>
      <c r="L14" s="46">
        <f t="shared" si="1"/>
        <v>-49640.369999999995</v>
      </c>
    </row>
    <row r="15" spans="2:19">
      <c r="B15" s="25"/>
      <c r="C15" s="65" t="s">
        <v>67</v>
      </c>
      <c r="D15" s="6"/>
      <c r="E15" s="6"/>
      <c r="F15" s="6"/>
      <c r="G15" s="6"/>
      <c r="H15" s="6"/>
      <c r="I15" s="6"/>
      <c r="J15" s="6"/>
      <c r="K15" s="6"/>
      <c r="L15" s="44"/>
    </row>
    <row r="16" spans="2:19">
      <c r="B16" s="31" t="s">
        <v>68</v>
      </c>
      <c r="C16" s="49" t="s">
        <v>69</v>
      </c>
      <c r="D16" s="34">
        <v>356.55500000000001</v>
      </c>
      <c r="E16" s="34">
        <v>5159.7929999999997</v>
      </c>
      <c r="F16" s="34">
        <v>2289.2930000000001</v>
      </c>
      <c r="G16" s="34">
        <v>0</v>
      </c>
      <c r="H16" s="34">
        <v>1293.9269999999999</v>
      </c>
      <c r="I16" s="34">
        <v>0</v>
      </c>
      <c r="J16" s="34">
        <v>865.48500000000001</v>
      </c>
      <c r="K16" s="34">
        <v>2871.7420000000002</v>
      </c>
      <c r="L16" s="37">
        <f t="shared" ref="L16:L23" si="2">SUM(D16:K16)</f>
        <v>12836.795</v>
      </c>
    </row>
    <row r="17" spans="2:13">
      <c r="B17" s="31" t="s">
        <v>70</v>
      </c>
      <c r="C17" s="50" t="s">
        <v>71</v>
      </c>
      <c r="D17" s="34">
        <v>56.924999999999997</v>
      </c>
      <c r="E17" s="34">
        <v>1751.73</v>
      </c>
      <c r="F17" s="34">
        <v>854.81</v>
      </c>
      <c r="G17" s="34">
        <v>0</v>
      </c>
      <c r="H17" s="34">
        <v>67.406000000000006</v>
      </c>
      <c r="I17" s="34">
        <v>1.2170000000000001</v>
      </c>
      <c r="J17" s="34">
        <v>254.64599999999999</v>
      </c>
      <c r="K17" s="34">
        <v>2527.3910000000001</v>
      </c>
      <c r="L17" s="37">
        <f t="shared" si="2"/>
        <v>5514.125</v>
      </c>
    </row>
    <row r="18" spans="2:13">
      <c r="B18" s="31" t="s">
        <v>72</v>
      </c>
      <c r="C18" s="50" t="s">
        <v>73</v>
      </c>
      <c r="D18" s="34">
        <v>1896.9860000000001</v>
      </c>
      <c r="E18" s="34">
        <v>4437.1610000000001</v>
      </c>
      <c r="F18" s="34">
        <v>2016.1110000000001</v>
      </c>
      <c r="G18" s="34">
        <v>0</v>
      </c>
      <c r="H18" s="34">
        <v>721.67100000000005</v>
      </c>
      <c r="I18" s="34">
        <v>117.19199999999999</v>
      </c>
      <c r="J18" s="34">
        <v>633.58299999999997</v>
      </c>
      <c r="K18" s="34">
        <v>4088.444</v>
      </c>
      <c r="L18" s="37">
        <f t="shared" si="2"/>
        <v>13911.147999999999</v>
      </c>
    </row>
    <row r="19" spans="2:13">
      <c r="B19" s="31" t="s">
        <v>74</v>
      </c>
      <c r="C19" s="50" t="s">
        <v>75</v>
      </c>
      <c r="D19" s="34">
        <v>44.1</v>
      </c>
      <c r="E19" s="34">
        <v>201.20599999999999</v>
      </c>
      <c r="F19" s="34">
        <v>797.37199999999996</v>
      </c>
      <c r="G19" s="34">
        <v>0</v>
      </c>
      <c r="H19" s="34">
        <v>63.085999999999999</v>
      </c>
      <c r="I19" s="34">
        <v>1E-3</v>
      </c>
      <c r="J19" s="34">
        <v>15.574</v>
      </c>
      <c r="K19" s="34">
        <v>19.386000000000003</v>
      </c>
      <c r="L19" s="37">
        <f t="shared" si="2"/>
        <v>1140.7249999999999</v>
      </c>
    </row>
    <row r="20" spans="2:13">
      <c r="B20" s="31" t="s">
        <v>76</v>
      </c>
      <c r="C20" s="50" t="s">
        <v>77</v>
      </c>
      <c r="D20" s="34">
        <v>0.55600000000000005</v>
      </c>
      <c r="E20" s="34">
        <v>21.248999999999999</v>
      </c>
      <c r="F20" s="34">
        <v>14851.249</v>
      </c>
      <c r="G20" s="34">
        <v>0</v>
      </c>
      <c r="H20" s="34">
        <v>130.685</v>
      </c>
      <c r="I20" s="34">
        <v>0</v>
      </c>
      <c r="J20" s="34">
        <v>0</v>
      </c>
      <c r="K20" s="34">
        <v>265.97199999999998</v>
      </c>
      <c r="L20" s="37">
        <f t="shared" si="2"/>
        <v>15269.710999999999</v>
      </c>
    </row>
    <row r="21" spans="2:13">
      <c r="B21" s="31" t="s">
        <v>78</v>
      </c>
      <c r="C21" s="51" t="s">
        <v>79</v>
      </c>
      <c r="D21" s="35">
        <f>IF((SUM(D16:D20,D22:D23)-SUM(D10:D12))&gt;D8,0,(D8-SUM(D16:D20,D22:D23)+SUM(D10:D12)))</f>
        <v>1189.2309999999979</v>
      </c>
      <c r="E21" s="35">
        <f>IF((SUM(E16:E20,E22:E23)-SUM(E10:E12))&gt;E8,0,(E8-SUM(E16:E20,E22:E23)+SUM(E10:E12)))</f>
        <v>0</v>
      </c>
      <c r="F21" s="35">
        <v>392.53200000000402</v>
      </c>
      <c r="G21" s="35">
        <f>IF((SUM(G16:G20,G22:G23)-SUM(G10:G12))&gt;G8,0,(G8-SUM(G16:G20,G22:G23)+SUM(G10:G12)))</f>
        <v>0</v>
      </c>
      <c r="H21" s="35">
        <f>IF((SUM(H16:H20,H22:H23)-SUM(H10:H12))&gt;H8,0,(H8-SUM(H16:H20,H22:H23)+SUM(H10:H12)))</f>
        <v>1390.2580000000007</v>
      </c>
      <c r="I21" s="35">
        <f>IF((SUM(I16:I20,I22:I23)-SUM(I10:I12))&gt;I8,0,(I8-SUM(I16:I20,I22:I23)+SUM(I10:I12)))</f>
        <v>0</v>
      </c>
      <c r="J21" s="35">
        <f>IF((SUM(J16:J20,J22:J23)-SUM(J10:J12))&gt;J8,0,(J8-SUM(J16:J20,J22:J23)+SUM(J10:J12)))</f>
        <v>627.03800000000001</v>
      </c>
      <c r="K21" s="35">
        <v>650</v>
      </c>
      <c r="L21" s="38">
        <f t="shared" si="2"/>
        <v>4249.0590000000029</v>
      </c>
    </row>
    <row r="22" spans="2:13">
      <c r="B22" s="31" t="s">
        <v>93</v>
      </c>
      <c r="C22" s="50" t="s">
        <v>80</v>
      </c>
      <c r="D22" s="34">
        <v>52.453000000000003</v>
      </c>
      <c r="E22" s="34">
        <v>633.82299999999998</v>
      </c>
      <c r="F22" s="34">
        <v>4072.5079999999998</v>
      </c>
      <c r="G22" s="36"/>
      <c r="H22" s="34">
        <v>0</v>
      </c>
      <c r="I22" s="34">
        <v>0</v>
      </c>
      <c r="J22" s="34">
        <v>0</v>
      </c>
      <c r="K22" s="34">
        <v>0</v>
      </c>
      <c r="L22" s="37">
        <f t="shared" si="2"/>
        <v>4758.7839999999997</v>
      </c>
    </row>
    <row r="23" spans="2:13">
      <c r="B23" s="31" t="s">
        <v>94</v>
      </c>
      <c r="C23" s="50" t="s">
        <v>81</v>
      </c>
      <c r="D23" s="34">
        <v>0</v>
      </c>
      <c r="E23" s="34">
        <v>0</v>
      </c>
      <c r="F23" s="34">
        <v>2111.0920000000001</v>
      </c>
      <c r="G23" s="36"/>
      <c r="H23" s="34">
        <v>0</v>
      </c>
      <c r="I23" s="34">
        <v>0</v>
      </c>
      <c r="J23" s="34">
        <v>0</v>
      </c>
      <c r="K23" s="34">
        <v>0</v>
      </c>
      <c r="L23" s="37">
        <f t="shared" si="2"/>
        <v>2111.0920000000001</v>
      </c>
    </row>
    <row r="24" spans="2:13" ht="14.4">
      <c r="B24" s="59" t="s">
        <v>96</v>
      </c>
      <c r="C24" s="43" t="s">
        <v>121</v>
      </c>
      <c r="D24" s="40">
        <f t="shared" ref="D24:L24" si="3">SUM(D16:D23)</f>
        <v>3596.8059999999982</v>
      </c>
      <c r="E24" s="40">
        <f t="shared" si="3"/>
        <v>12204.962</v>
      </c>
      <c r="F24" s="40">
        <f t="shared" si="3"/>
        <v>27384.967000000001</v>
      </c>
      <c r="G24" s="40">
        <f t="shared" si="3"/>
        <v>0</v>
      </c>
      <c r="H24" s="40">
        <f t="shared" si="3"/>
        <v>3667.0330000000004</v>
      </c>
      <c r="I24" s="40">
        <f t="shared" si="3"/>
        <v>118.41</v>
      </c>
      <c r="J24" s="40">
        <f t="shared" si="3"/>
        <v>2396.326</v>
      </c>
      <c r="K24" s="40">
        <f>SUM(K16:K23)</f>
        <v>10422.934999999999</v>
      </c>
      <c r="L24" s="42">
        <f t="shared" si="3"/>
        <v>59791.438999999998</v>
      </c>
    </row>
    <row r="25" spans="2:13">
      <c r="D25" s="7"/>
      <c r="F25" s="7"/>
      <c r="G25" s="7"/>
      <c r="H25" s="7"/>
      <c r="I25" s="7"/>
      <c r="J25" s="7"/>
      <c r="K25" s="7"/>
      <c r="L25" s="7"/>
    </row>
    <row r="26" spans="2:13">
      <c r="D26" s="7"/>
      <c r="F26" s="7"/>
      <c r="G26" s="7"/>
      <c r="H26" s="7"/>
      <c r="I26" s="7"/>
      <c r="J26" s="7"/>
      <c r="K26" s="7"/>
      <c r="L26" s="7"/>
      <c r="M26" s="7"/>
    </row>
    <row r="27" spans="2:13" ht="14.4">
      <c r="C27" s="39" t="s">
        <v>109</v>
      </c>
      <c r="D27" s="39"/>
      <c r="E27" s="39"/>
      <c r="F27" s="7"/>
      <c r="G27" s="7"/>
      <c r="H27" s="7"/>
      <c r="I27" s="7"/>
      <c r="J27" s="7"/>
      <c r="K27" s="7"/>
      <c r="L27" s="7"/>
      <c r="M27" s="7"/>
    </row>
    <row r="28" spans="2:13">
      <c r="D28" s="7"/>
      <c r="F28" s="7"/>
      <c r="G28" s="7"/>
      <c r="H28" s="7"/>
      <c r="I28" s="7"/>
      <c r="J28" s="7"/>
      <c r="K28" s="7"/>
      <c r="L28" s="7"/>
      <c r="M28" s="7"/>
    </row>
    <row r="29" spans="2:13">
      <c r="D29" s="7"/>
      <c r="F29" s="7"/>
      <c r="G29" s="7"/>
      <c r="H29" s="7"/>
      <c r="I29" s="7"/>
      <c r="J29" s="7"/>
      <c r="K29" s="7"/>
      <c r="L29" s="7"/>
      <c r="M29" s="7"/>
    </row>
    <row r="30" spans="2:13">
      <c r="D30" s="7"/>
      <c r="F30" s="7"/>
      <c r="G30" s="7"/>
      <c r="H30" s="7"/>
      <c r="I30" s="7"/>
      <c r="J30" s="7"/>
      <c r="K30" s="7"/>
      <c r="L30" s="7"/>
      <c r="M30" s="7"/>
    </row>
    <row r="31" spans="2:13">
      <c r="D31" s="7"/>
      <c r="F31" s="7"/>
      <c r="G31" s="7"/>
      <c r="H31" s="7"/>
      <c r="I31" s="7"/>
      <c r="J31" s="7"/>
      <c r="K31" s="7"/>
      <c r="L31" s="7"/>
      <c r="M31" s="7"/>
    </row>
    <row r="32" spans="2:13">
      <c r="D32" s="7"/>
      <c r="F32" s="7"/>
      <c r="G32" s="7"/>
      <c r="H32" s="7"/>
      <c r="I32" s="7"/>
      <c r="J32" s="7"/>
      <c r="K32" s="7"/>
      <c r="L32" s="7"/>
      <c r="M32" s="7"/>
    </row>
    <row r="33" spans="3:13">
      <c r="D33" s="7"/>
      <c r="F33" s="7"/>
      <c r="G33" s="7"/>
      <c r="H33" s="7"/>
      <c r="I33" s="7"/>
      <c r="J33" s="7"/>
      <c r="K33" s="7"/>
      <c r="L33" s="7"/>
      <c r="M33" s="7"/>
    </row>
    <row r="34" spans="3:13">
      <c r="D34" s="7"/>
      <c r="F34" s="7"/>
      <c r="G34" s="7"/>
      <c r="H34" s="7"/>
      <c r="I34" s="7"/>
      <c r="J34" s="7"/>
      <c r="K34" s="7"/>
      <c r="L34" s="7"/>
      <c r="M34" s="7"/>
    </row>
    <row r="35" spans="3:13">
      <c r="D35" s="7"/>
      <c r="F35" s="7"/>
      <c r="G35" s="7"/>
      <c r="H35" s="7"/>
      <c r="I35" s="7"/>
      <c r="J35" s="7"/>
      <c r="K35" s="7"/>
      <c r="L35" s="7"/>
      <c r="M35" s="7"/>
    </row>
    <row r="36" spans="3:13">
      <c r="D36" s="15" t="s">
        <v>36</v>
      </c>
      <c r="F36" s="7"/>
      <c r="G36" s="1"/>
      <c r="H36" s="1"/>
      <c r="I36" s="1"/>
      <c r="J36" s="1"/>
      <c r="K36" s="1"/>
      <c r="L36" s="1"/>
      <c r="M36" s="1"/>
    </row>
    <row r="37" spans="3:13">
      <c r="C37" s="16" t="s">
        <v>104</v>
      </c>
      <c r="D37" s="17">
        <v>0.75</v>
      </c>
      <c r="F37" s="7"/>
      <c r="G37" s="20"/>
      <c r="H37" s="20"/>
      <c r="I37" s="20"/>
      <c r="J37" s="20"/>
      <c r="K37" s="20"/>
      <c r="L37" s="20"/>
      <c r="M37" s="20"/>
    </row>
    <row r="38" spans="3:13">
      <c r="C38" s="18" t="s">
        <v>105</v>
      </c>
      <c r="D38" s="19">
        <v>0.25</v>
      </c>
      <c r="F38" s="7"/>
      <c r="G38" s="20"/>
      <c r="H38" s="20"/>
      <c r="I38" s="20"/>
      <c r="J38" s="20"/>
      <c r="K38" s="20"/>
      <c r="L38" s="20"/>
      <c r="M38" s="20"/>
    </row>
    <row r="39" spans="3:13">
      <c r="C39" s="1"/>
      <c r="D39" s="20"/>
      <c r="F39" s="7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6"/>
  <sheetViews>
    <sheetView zoomScaleNormal="100" workbookViewId="0">
      <selection activeCell="K2" sqref="K2:P3"/>
    </sheetView>
  </sheetViews>
  <sheetFormatPr defaultRowHeight="13.2"/>
  <cols>
    <col min="1" max="1" width="1.88671875" customWidth="1"/>
    <col min="2" max="2" width="7.6640625" customWidth="1"/>
    <col min="3" max="3" width="6.88671875" customWidth="1"/>
    <col min="12" max="12" width="6.6640625" customWidth="1"/>
    <col min="14" max="14" width="5.44140625" customWidth="1"/>
  </cols>
  <sheetData>
    <row r="2" spans="2:16" ht="17.399999999999999">
      <c r="B2" s="52" t="s">
        <v>111</v>
      </c>
      <c r="K2" s="52" t="s">
        <v>124</v>
      </c>
    </row>
    <row r="3" spans="2:16" ht="17.399999999999999">
      <c r="K3" s="52" t="s">
        <v>125</v>
      </c>
    </row>
    <row r="4" spans="2:16">
      <c r="B4" s="22" t="s">
        <v>123</v>
      </c>
    </row>
    <row r="14" spans="2:16" ht="17.399999999999999">
      <c r="B14" s="52" t="s">
        <v>110</v>
      </c>
    </row>
    <row r="16" spans="2:16">
      <c r="D16" s="53" t="s">
        <v>122</v>
      </c>
      <c r="E16" s="53"/>
      <c r="F16" s="53"/>
      <c r="G16" s="53"/>
      <c r="H16" s="53"/>
      <c r="I16" s="53"/>
      <c r="J16" s="53"/>
      <c r="K16" s="53"/>
      <c r="L16" s="22"/>
      <c r="M16" s="22"/>
      <c r="N16" s="22"/>
      <c r="O16" s="22"/>
      <c r="P16" s="22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D85"/>
  <sheetViews>
    <sheetView topLeftCell="M2" zoomScale="61" zoomScaleNormal="55" workbookViewId="0">
      <selection activeCell="P5" sqref="P5"/>
    </sheetView>
  </sheetViews>
  <sheetFormatPr defaultRowHeight="13.2"/>
  <cols>
    <col min="1" max="1" width="3" customWidth="1"/>
    <col min="2" max="2" width="30.44140625" customWidth="1"/>
    <col min="3" max="3" width="30.33203125" customWidth="1"/>
    <col min="4" max="4" width="33.33203125" customWidth="1"/>
    <col min="5" max="5" width="35.21875" customWidth="1"/>
    <col min="6" max="6" width="27.44140625" customWidth="1"/>
    <col min="7" max="7" width="7.44140625" bestFit="1" customWidth="1"/>
    <col min="8" max="9" width="9.33203125" bestFit="1" customWidth="1"/>
    <col min="10" max="10" width="9.33203125" customWidth="1"/>
    <col min="11" max="11" width="8" bestFit="1" customWidth="1"/>
    <col min="12" max="12" width="8" customWidth="1"/>
    <col min="13" max="13" width="38.33203125" customWidth="1"/>
    <col min="14" max="14" width="12.6640625" bestFit="1" customWidth="1"/>
    <col min="15" max="15" width="7.109375" customWidth="1"/>
    <col min="16" max="16" width="36.5546875" customWidth="1"/>
    <col min="17" max="17" width="42.5546875" bestFit="1" customWidth="1"/>
    <col min="18" max="18" width="6.88671875" customWidth="1"/>
    <col min="19" max="19" width="11.6640625" customWidth="1"/>
    <col min="20" max="20" width="13.88671875" customWidth="1"/>
    <col min="21" max="21" width="15" customWidth="1"/>
    <col min="26" max="26" width="21.88671875" customWidth="1"/>
    <col min="27" max="27" width="51.44140625" customWidth="1"/>
    <col min="29" max="29" width="17.77734375" customWidth="1"/>
  </cols>
  <sheetData>
    <row r="1" spans="2:30" ht="14.4">
      <c r="B1" s="8" t="s">
        <v>83</v>
      </c>
      <c r="C1" s="8" t="s">
        <v>85</v>
      </c>
      <c r="D1" s="8" t="s">
        <v>112</v>
      </c>
      <c r="E1" s="8" t="s">
        <v>87</v>
      </c>
      <c r="F1" s="8" t="s">
        <v>88</v>
      </c>
      <c r="H1" s="8" t="s">
        <v>113</v>
      </c>
    </row>
    <row r="2" spans="2:30" ht="31.2">
      <c r="B2" s="9" t="str">
        <f>EnergyBalance!B8</f>
        <v>TPS</v>
      </c>
      <c r="C2" s="54" t="str">
        <f>EnergyBalance!C8</f>
        <v>Total Primary Supply</v>
      </c>
      <c r="D2" s="54" t="str">
        <f>"Demand Technology"</f>
        <v>Demand Technology</v>
      </c>
      <c r="E2" s="9" t="str">
        <f>EnergyBalance!R2</f>
        <v>PJ</v>
      </c>
      <c r="F2" s="9" t="str">
        <f>EnergyBalance!Q2</f>
        <v>M€2005</v>
      </c>
      <c r="H2" s="9" t="s">
        <v>114</v>
      </c>
      <c r="N2" s="71" t="s">
        <v>12</v>
      </c>
      <c r="O2" s="71"/>
      <c r="P2" s="72"/>
      <c r="Q2" s="72"/>
      <c r="R2" s="72"/>
      <c r="S2" s="72"/>
      <c r="T2" s="72"/>
      <c r="X2" s="71" t="s">
        <v>13</v>
      </c>
      <c r="Y2" s="71"/>
      <c r="Z2" s="76"/>
      <c r="AA2" s="76"/>
      <c r="AB2" s="76"/>
      <c r="AC2" s="76"/>
      <c r="AD2" s="76"/>
    </row>
    <row r="3" spans="2:30">
      <c r="N3" s="73" t="s">
        <v>7</v>
      </c>
      <c r="O3" s="74" t="s">
        <v>24</v>
      </c>
      <c r="P3" s="73" t="s">
        <v>0</v>
      </c>
      <c r="Q3" s="73" t="s">
        <v>3</v>
      </c>
      <c r="R3" s="73" t="s">
        <v>4</v>
      </c>
      <c r="S3" s="73" t="s">
        <v>8</v>
      </c>
      <c r="T3" s="73" t="s">
        <v>9</v>
      </c>
      <c r="U3" s="77" t="s">
        <v>130</v>
      </c>
      <c r="X3" s="73" t="s">
        <v>10</v>
      </c>
      <c r="Y3" s="74" t="s">
        <v>24</v>
      </c>
      <c r="Z3" s="73" t="s">
        <v>1</v>
      </c>
      <c r="AA3" s="73" t="s">
        <v>2</v>
      </c>
      <c r="AB3" s="73" t="s">
        <v>14</v>
      </c>
      <c r="AC3" s="73" t="s">
        <v>15</v>
      </c>
      <c r="AD3" s="73" t="s">
        <v>16</v>
      </c>
    </row>
    <row r="4" spans="2:30" ht="28.2" customHeight="1" thickBot="1">
      <c r="B4" s="55"/>
      <c r="C4" s="55"/>
      <c r="D4" s="55"/>
      <c r="E4" s="55"/>
      <c r="F4" s="55"/>
      <c r="N4" s="78" t="s">
        <v>31</v>
      </c>
      <c r="O4" s="78" t="s">
        <v>25</v>
      </c>
      <c r="P4" s="78" t="s">
        <v>21</v>
      </c>
      <c r="Q4" s="78" t="s">
        <v>22</v>
      </c>
      <c r="R4" s="78" t="s">
        <v>4</v>
      </c>
      <c r="S4" s="78" t="s">
        <v>34</v>
      </c>
      <c r="T4" s="78" t="s">
        <v>23</v>
      </c>
      <c r="U4" s="79" t="s">
        <v>131</v>
      </c>
      <c r="X4" s="75" t="s">
        <v>32</v>
      </c>
      <c r="Y4" s="75" t="s">
        <v>25</v>
      </c>
      <c r="Z4" s="75" t="s">
        <v>17</v>
      </c>
      <c r="AA4" s="75" t="s">
        <v>18</v>
      </c>
      <c r="AB4" s="75" t="s">
        <v>19</v>
      </c>
      <c r="AC4" s="75" t="s">
        <v>20</v>
      </c>
      <c r="AD4" s="75" t="s">
        <v>35</v>
      </c>
    </row>
    <row r="5" spans="2:30" ht="15.6">
      <c r="B5" s="55"/>
      <c r="C5" s="55"/>
      <c r="D5" s="55"/>
      <c r="E5" s="55"/>
      <c r="F5" s="55"/>
      <c r="N5" s="87" t="s">
        <v>82</v>
      </c>
      <c r="O5" s="85" t="s">
        <v>139</v>
      </c>
      <c r="P5" s="85" t="s">
        <v>132</v>
      </c>
      <c r="Q5" s="85" t="s">
        <v>135</v>
      </c>
      <c r="R5" s="85" t="s">
        <v>86</v>
      </c>
      <c r="S5" s="85"/>
      <c r="T5" s="85"/>
      <c r="U5" s="88"/>
      <c r="X5" s="78" t="s">
        <v>90</v>
      </c>
      <c r="Y5" s="78"/>
      <c r="Z5" s="78"/>
      <c r="AA5" s="78"/>
      <c r="AB5" s="78"/>
      <c r="AC5" s="78"/>
      <c r="AD5" s="78"/>
    </row>
    <row r="6" spans="2:30">
      <c r="N6" s="89" t="s">
        <v>82</v>
      </c>
      <c r="O6" s="81" t="s">
        <v>139</v>
      </c>
      <c r="P6" s="81" t="s">
        <v>133</v>
      </c>
      <c r="Q6" s="81" t="s">
        <v>136</v>
      </c>
      <c r="R6" s="81" t="s">
        <v>86</v>
      </c>
      <c r="S6" s="81"/>
      <c r="T6" s="81"/>
      <c r="U6" s="90"/>
      <c r="X6" s="87" t="s">
        <v>180</v>
      </c>
      <c r="Y6" s="85" t="s">
        <v>139</v>
      </c>
      <c r="Z6" s="85" t="s">
        <v>181</v>
      </c>
      <c r="AA6" s="85" t="s">
        <v>182</v>
      </c>
      <c r="AB6" s="85" t="s">
        <v>138</v>
      </c>
      <c r="AC6" s="85" t="s">
        <v>184</v>
      </c>
      <c r="AD6" s="88"/>
    </row>
    <row r="7" spans="2:30">
      <c r="N7" s="91" t="s">
        <v>92</v>
      </c>
      <c r="O7" s="82" t="s">
        <v>139</v>
      </c>
      <c r="P7" s="82" t="s">
        <v>134</v>
      </c>
      <c r="Q7" s="82" t="s">
        <v>137</v>
      </c>
      <c r="R7" s="82" t="s">
        <v>138</v>
      </c>
      <c r="S7" s="82"/>
      <c r="T7" s="82"/>
      <c r="U7" s="92"/>
      <c r="X7" s="89" t="s">
        <v>179</v>
      </c>
      <c r="Y7" s="81" t="s">
        <v>139</v>
      </c>
      <c r="Z7" s="81" t="s">
        <v>185</v>
      </c>
      <c r="AA7" s="81" t="s">
        <v>186</v>
      </c>
      <c r="AB7" s="81" t="s">
        <v>86</v>
      </c>
      <c r="AC7" s="81" t="s">
        <v>187</v>
      </c>
      <c r="AD7" s="90"/>
    </row>
    <row r="8" spans="2:30">
      <c r="D8" s="5" t="s">
        <v>11</v>
      </c>
      <c r="E8" s="5"/>
      <c r="F8" s="5"/>
      <c r="H8" s="5"/>
      <c r="I8" s="56"/>
      <c r="J8" s="56"/>
      <c r="K8" s="57"/>
      <c r="L8" s="57"/>
      <c r="N8" s="89" t="s">
        <v>82</v>
      </c>
      <c r="O8" s="81" t="s">
        <v>139</v>
      </c>
      <c r="P8" s="81" t="s">
        <v>140</v>
      </c>
      <c r="Q8" s="81" t="s">
        <v>141</v>
      </c>
      <c r="R8" s="81" t="s">
        <v>103</v>
      </c>
      <c r="S8" s="81"/>
      <c r="T8" s="81"/>
      <c r="U8" s="90"/>
      <c r="X8" s="91" t="s">
        <v>179</v>
      </c>
      <c r="Y8" s="82" t="s">
        <v>139</v>
      </c>
      <c r="Z8" s="82" t="s">
        <v>188</v>
      </c>
      <c r="AA8" s="82" t="s">
        <v>189</v>
      </c>
      <c r="AB8" s="82" t="s">
        <v>86</v>
      </c>
      <c r="AC8" s="82" t="s">
        <v>183</v>
      </c>
      <c r="AD8" s="92"/>
    </row>
    <row r="9" spans="2:30">
      <c r="B9" s="58" t="s">
        <v>1</v>
      </c>
      <c r="C9" s="58" t="s">
        <v>215</v>
      </c>
      <c r="D9" s="58" t="s">
        <v>5</v>
      </c>
      <c r="E9" s="58" t="s">
        <v>6</v>
      </c>
      <c r="F9" s="67" t="s">
        <v>115</v>
      </c>
      <c r="G9" s="58" t="s">
        <v>217</v>
      </c>
      <c r="H9" s="58" t="s">
        <v>218</v>
      </c>
      <c r="I9" s="58" t="s">
        <v>219</v>
      </c>
      <c r="J9" s="58" t="s">
        <v>116</v>
      </c>
      <c r="K9" s="57"/>
      <c r="L9" s="57"/>
      <c r="N9" s="91" t="s">
        <v>82</v>
      </c>
      <c r="O9" s="82" t="s">
        <v>139</v>
      </c>
      <c r="P9" s="82" t="s">
        <v>142</v>
      </c>
      <c r="Q9" s="82" t="s">
        <v>143</v>
      </c>
      <c r="R9" s="82" t="s">
        <v>103</v>
      </c>
      <c r="S9" s="82"/>
      <c r="T9" s="82"/>
      <c r="U9" s="92"/>
      <c r="X9" s="89" t="s">
        <v>54</v>
      </c>
      <c r="Y9" s="81" t="s">
        <v>139</v>
      </c>
      <c r="Z9" s="81" t="s">
        <v>190</v>
      </c>
      <c r="AA9" s="81" t="s">
        <v>191</v>
      </c>
      <c r="AB9" s="81" t="s">
        <v>138</v>
      </c>
      <c r="AC9" s="81" t="s">
        <v>192</v>
      </c>
      <c r="AD9" s="90"/>
    </row>
    <row r="10" spans="2:30" ht="31.2">
      <c r="B10" s="12" t="s">
        <v>33</v>
      </c>
      <c r="C10" s="12" t="s">
        <v>214</v>
      </c>
      <c r="D10" s="12" t="s">
        <v>26</v>
      </c>
      <c r="E10" s="12" t="s">
        <v>27</v>
      </c>
      <c r="F10" s="12" t="s">
        <v>118</v>
      </c>
      <c r="G10" s="12" t="s">
        <v>220</v>
      </c>
      <c r="H10" s="66" t="s">
        <v>221</v>
      </c>
      <c r="I10" s="12" t="s">
        <v>222</v>
      </c>
      <c r="J10" s="12"/>
      <c r="K10" s="57"/>
      <c r="L10" s="57"/>
      <c r="N10" s="89" t="s">
        <v>82</v>
      </c>
      <c r="O10" s="81" t="s">
        <v>139</v>
      </c>
      <c r="P10" s="81" t="s">
        <v>144</v>
      </c>
      <c r="Q10" s="81" t="s">
        <v>145</v>
      </c>
      <c r="R10" s="81" t="s">
        <v>103</v>
      </c>
      <c r="S10" s="81"/>
      <c r="T10" s="81"/>
      <c r="U10" s="90"/>
      <c r="X10" s="91" t="s">
        <v>54</v>
      </c>
      <c r="Y10" s="82" t="s">
        <v>139</v>
      </c>
      <c r="Z10" s="82" t="s">
        <v>193</v>
      </c>
      <c r="AA10" s="82" t="s">
        <v>194</v>
      </c>
      <c r="AB10" s="82" t="s">
        <v>195</v>
      </c>
      <c r="AC10" s="82" t="s">
        <v>162</v>
      </c>
      <c r="AD10" s="92"/>
    </row>
    <row r="11" spans="2:30">
      <c r="B11" s="12" t="s">
        <v>97</v>
      </c>
      <c r="C11" s="12" t="s">
        <v>97</v>
      </c>
      <c r="D11" s="12"/>
      <c r="E11" s="12"/>
      <c r="F11" s="101" t="s">
        <v>216</v>
      </c>
      <c r="G11" s="101"/>
      <c r="H11" s="99"/>
      <c r="I11" s="101" t="s">
        <v>127</v>
      </c>
      <c r="J11" s="101" t="s">
        <v>128</v>
      </c>
      <c r="K11" s="57"/>
      <c r="L11" s="57"/>
      <c r="N11" s="91" t="s">
        <v>82</v>
      </c>
      <c r="O11" s="82" t="s">
        <v>139</v>
      </c>
      <c r="P11" s="82" t="s">
        <v>146</v>
      </c>
      <c r="Q11" s="82" t="s">
        <v>147</v>
      </c>
      <c r="R11" s="82" t="s">
        <v>103</v>
      </c>
      <c r="S11" s="82"/>
      <c r="T11" s="82"/>
      <c r="U11" s="92"/>
      <c r="X11" s="89" t="s">
        <v>179</v>
      </c>
      <c r="Y11" s="81" t="s">
        <v>139</v>
      </c>
      <c r="Z11" s="81" t="s">
        <v>196</v>
      </c>
      <c r="AA11" s="81" t="s">
        <v>197</v>
      </c>
      <c r="AB11" s="81" t="s">
        <v>138</v>
      </c>
      <c r="AC11" s="81" t="s">
        <v>192</v>
      </c>
      <c r="AD11" s="90"/>
    </row>
    <row r="12" spans="2:30">
      <c r="B12" s="102" t="s">
        <v>196</v>
      </c>
      <c r="C12" s="103" t="s">
        <v>197</v>
      </c>
      <c r="D12" s="104"/>
      <c r="E12" s="103"/>
      <c r="F12" s="105">
        <v>2391.308</v>
      </c>
      <c r="G12" s="80"/>
      <c r="H12" s="82"/>
      <c r="I12" s="105">
        <v>1</v>
      </c>
      <c r="J12" s="105">
        <v>1</v>
      </c>
      <c r="K12" s="57"/>
      <c r="L12" s="57"/>
      <c r="N12" s="89" t="s">
        <v>82</v>
      </c>
      <c r="O12" s="81" t="s">
        <v>139</v>
      </c>
      <c r="P12" s="81" t="s">
        <v>148</v>
      </c>
      <c r="Q12" s="81" t="s">
        <v>149</v>
      </c>
      <c r="R12" s="81" t="s">
        <v>103</v>
      </c>
      <c r="S12" s="81"/>
      <c r="T12" s="81"/>
      <c r="U12" s="90"/>
      <c r="X12" s="91" t="s">
        <v>179</v>
      </c>
      <c r="Y12" s="82" t="s">
        <v>139</v>
      </c>
      <c r="Z12" s="82" t="s">
        <v>198</v>
      </c>
      <c r="AA12" s="82" t="s">
        <v>199</v>
      </c>
      <c r="AB12" s="82" t="s">
        <v>138</v>
      </c>
      <c r="AC12" s="82" t="s">
        <v>192</v>
      </c>
      <c r="AD12" s="92"/>
    </row>
    <row r="13" spans="2:30">
      <c r="B13" s="103"/>
      <c r="C13" s="104"/>
      <c r="D13" s="106" t="s">
        <v>158</v>
      </c>
      <c r="E13" s="103"/>
      <c r="F13" s="82"/>
      <c r="G13" s="107">
        <v>1</v>
      </c>
      <c r="H13" s="82"/>
      <c r="I13" s="82"/>
      <c r="J13" s="82"/>
      <c r="N13" s="91" t="s">
        <v>82</v>
      </c>
      <c r="O13" s="82" t="s">
        <v>139</v>
      </c>
      <c r="P13" s="82" t="s">
        <v>150</v>
      </c>
      <c r="Q13" s="82" t="s">
        <v>149</v>
      </c>
      <c r="R13" s="82" t="s">
        <v>103</v>
      </c>
      <c r="S13" s="82"/>
      <c r="T13" s="82"/>
      <c r="U13" s="92"/>
      <c r="X13" s="89" t="s">
        <v>179</v>
      </c>
      <c r="Y13" s="81" t="s">
        <v>139</v>
      </c>
      <c r="Z13" s="81" t="s">
        <v>200</v>
      </c>
      <c r="AA13" s="81" t="s">
        <v>201</v>
      </c>
      <c r="AB13" s="81" t="s">
        <v>138</v>
      </c>
      <c r="AC13" s="81" t="s">
        <v>192</v>
      </c>
      <c r="AD13" s="90"/>
    </row>
    <row r="14" spans="2:30">
      <c r="B14" s="103"/>
      <c r="C14" s="103"/>
      <c r="D14" s="103"/>
      <c r="E14" s="108" t="s">
        <v>167</v>
      </c>
      <c r="F14" s="82"/>
      <c r="G14" s="80"/>
      <c r="H14" s="82"/>
      <c r="I14" s="82"/>
      <c r="J14" s="82"/>
      <c r="N14" s="89" t="s">
        <v>82</v>
      </c>
      <c r="O14" s="81" t="s">
        <v>139</v>
      </c>
      <c r="P14" s="81" t="s">
        <v>151</v>
      </c>
      <c r="Q14" s="81" t="s">
        <v>149</v>
      </c>
      <c r="R14" s="81" t="s">
        <v>103</v>
      </c>
      <c r="S14" s="81"/>
      <c r="T14" s="81"/>
      <c r="U14" s="90"/>
      <c r="X14" s="91" t="s">
        <v>179</v>
      </c>
      <c r="Y14" s="82" t="s">
        <v>139</v>
      </c>
      <c r="Z14" s="82" t="s">
        <v>202</v>
      </c>
      <c r="AA14" s="82" t="s">
        <v>203</v>
      </c>
      <c r="AB14" s="82" t="s">
        <v>138</v>
      </c>
      <c r="AC14" s="82" t="s">
        <v>192</v>
      </c>
      <c r="AD14" s="92"/>
    </row>
    <row r="15" spans="2:30">
      <c r="B15" s="103"/>
      <c r="C15" s="103"/>
      <c r="D15" s="103"/>
      <c r="E15" s="109" t="s">
        <v>140</v>
      </c>
      <c r="F15" s="82"/>
      <c r="G15" s="82"/>
      <c r="H15" s="110">
        <v>7.4</v>
      </c>
      <c r="I15" s="82"/>
      <c r="J15" s="82"/>
      <c r="N15" s="91" t="s">
        <v>82</v>
      </c>
      <c r="O15" s="82" t="s">
        <v>139</v>
      </c>
      <c r="P15" s="82" t="s">
        <v>152</v>
      </c>
      <c r="Q15" s="82" t="s">
        <v>149</v>
      </c>
      <c r="R15" s="82" t="s">
        <v>103</v>
      </c>
      <c r="S15" s="82"/>
      <c r="T15" s="82"/>
      <c r="U15" s="92"/>
      <c r="X15" s="89" t="s">
        <v>179</v>
      </c>
      <c r="Y15" s="81" t="s">
        <v>139</v>
      </c>
      <c r="Z15" s="81" t="s">
        <v>204</v>
      </c>
      <c r="AA15" s="81" t="s">
        <v>204</v>
      </c>
      <c r="AB15" s="81" t="s">
        <v>138</v>
      </c>
      <c r="AC15" s="81" t="s">
        <v>192</v>
      </c>
      <c r="AD15" s="90"/>
    </row>
    <row r="16" spans="2:30">
      <c r="B16" s="102" t="s">
        <v>198</v>
      </c>
      <c r="C16" s="111" t="s">
        <v>199</v>
      </c>
      <c r="D16" s="111"/>
      <c r="E16" s="111"/>
      <c r="F16" s="105">
        <v>3887.5880000000002</v>
      </c>
      <c r="G16" s="81"/>
      <c r="H16" s="81"/>
      <c r="I16" s="105">
        <v>1</v>
      </c>
      <c r="J16" s="105">
        <v>1</v>
      </c>
      <c r="N16" s="89" t="s">
        <v>82</v>
      </c>
      <c r="O16" s="81" t="s">
        <v>139</v>
      </c>
      <c r="P16" s="81" t="s">
        <v>153</v>
      </c>
      <c r="Q16" s="81" t="s">
        <v>149</v>
      </c>
      <c r="R16" s="81" t="s">
        <v>103</v>
      </c>
      <c r="S16" s="81"/>
      <c r="T16" s="81"/>
      <c r="U16" s="90"/>
      <c r="X16" s="91" t="s">
        <v>179</v>
      </c>
      <c r="Y16" s="82" t="s">
        <v>139</v>
      </c>
      <c r="Z16" s="82" t="s">
        <v>205</v>
      </c>
      <c r="AA16" s="82" t="s">
        <v>205</v>
      </c>
      <c r="AB16" s="82" t="s">
        <v>103</v>
      </c>
      <c r="AC16" s="82" t="s">
        <v>103</v>
      </c>
      <c r="AD16" s="92"/>
    </row>
    <row r="17" spans="2:30">
      <c r="B17" s="111"/>
      <c r="C17" s="111"/>
      <c r="D17" s="106" t="s">
        <v>158</v>
      </c>
      <c r="E17" s="111"/>
      <c r="F17" s="81"/>
      <c r="G17" s="107">
        <v>1</v>
      </c>
      <c r="H17" s="81"/>
      <c r="I17" s="81"/>
      <c r="J17" s="81"/>
      <c r="N17" s="91" t="s">
        <v>82</v>
      </c>
      <c r="O17" s="82" t="s">
        <v>139</v>
      </c>
      <c r="P17" s="82" t="s">
        <v>154</v>
      </c>
      <c r="Q17" s="82" t="s">
        <v>149</v>
      </c>
      <c r="R17" s="82" t="s">
        <v>103</v>
      </c>
      <c r="S17" s="82"/>
      <c r="T17" s="82"/>
      <c r="U17" s="92"/>
      <c r="X17" s="89" t="s">
        <v>179</v>
      </c>
      <c r="Y17" s="81" t="s">
        <v>139</v>
      </c>
      <c r="Z17" s="81" t="s">
        <v>206</v>
      </c>
      <c r="AA17" s="81" t="s">
        <v>206</v>
      </c>
      <c r="AB17" s="81" t="s">
        <v>103</v>
      </c>
      <c r="AC17" s="81" t="s">
        <v>103</v>
      </c>
      <c r="AD17" s="90"/>
    </row>
    <row r="18" spans="2:30">
      <c r="B18" s="111"/>
      <c r="C18" s="111"/>
      <c r="D18" s="111"/>
      <c r="E18" s="108" t="s">
        <v>168</v>
      </c>
      <c r="F18" s="81"/>
      <c r="G18" s="81"/>
      <c r="H18" s="81"/>
      <c r="I18" s="81"/>
      <c r="J18" s="81"/>
      <c r="N18" s="89" t="s">
        <v>82</v>
      </c>
      <c r="O18" s="81" t="s">
        <v>139</v>
      </c>
      <c r="P18" s="81" t="s">
        <v>155</v>
      </c>
      <c r="Q18" s="81" t="s">
        <v>149</v>
      </c>
      <c r="R18" s="81" t="s">
        <v>103</v>
      </c>
      <c r="S18" s="81"/>
      <c r="T18" s="81"/>
      <c r="U18" s="90"/>
      <c r="X18" s="91" t="s">
        <v>179</v>
      </c>
      <c r="Y18" s="82" t="s">
        <v>139</v>
      </c>
      <c r="Z18" s="82" t="s">
        <v>207</v>
      </c>
      <c r="AA18" s="82" t="s">
        <v>207</v>
      </c>
      <c r="AB18" s="82" t="s">
        <v>103</v>
      </c>
      <c r="AC18" s="82" t="s">
        <v>103</v>
      </c>
      <c r="AD18" s="92"/>
    </row>
    <row r="19" spans="2:30">
      <c r="B19" s="111"/>
      <c r="C19" s="111"/>
      <c r="D19" s="111"/>
      <c r="E19" s="109" t="s">
        <v>142</v>
      </c>
      <c r="F19" s="81"/>
      <c r="G19" s="81"/>
      <c r="H19" s="110">
        <v>2.9279999999999999</v>
      </c>
      <c r="I19" s="81"/>
      <c r="J19" s="81"/>
      <c r="N19" s="91" t="s">
        <v>82</v>
      </c>
      <c r="O19" s="82" t="s">
        <v>139</v>
      </c>
      <c r="P19" s="82" t="s">
        <v>156</v>
      </c>
      <c r="Q19" s="82" t="s">
        <v>149</v>
      </c>
      <c r="R19" s="82" t="s">
        <v>103</v>
      </c>
      <c r="S19" s="82"/>
      <c r="T19" s="82"/>
      <c r="U19" s="92"/>
      <c r="X19" s="89" t="s">
        <v>179</v>
      </c>
      <c r="Y19" s="81" t="s">
        <v>139</v>
      </c>
      <c r="Z19" s="81" t="s">
        <v>208</v>
      </c>
      <c r="AA19" s="81" t="s">
        <v>208</v>
      </c>
      <c r="AB19" s="81" t="s">
        <v>103</v>
      </c>
      <c r="AC19" s="81" t="s">
        <v>103</v>
      </c>
      <c r="AD19" s="90"/>
    </row>
    <row r="20" spans="2:30">
      <c r="B20" s="102" t="s">
        <v>200</v>
      </c>
      <c r="C20" s="103" t="s">
        <v>201</v>
      </c>
      <c r="D20" s="104"/>
      <c r="E20" s="103"/>
      <c r="F20" s="105">
        <v>11727.41</v>
      </c>
      <c r="G20" s="80"/>
      <c r="H20" s="82"/>
      <c r="I20" s="105">
        <v>1</v>
      </c>
      <c r="J20" s="105">
        <v>1</v>
      </c>
      <c r="N20" s="89" t="s">
        <v>157</v>
      </c>
      <c r="O20" s="81" t="s">
        <v>139</v>
      </c>
      <c r="P20" s="81" t="s">
        <v>158</v>
      </c>
      <c r="Q20" s="81" t="s">
        <v>159</v>
      </c>
      <c r="R20" s="81" t="s">
        <v>160</v>
      </c>
      <c r="S20" s="81"/>
      <c r="T20" s="81"/>
      <c r="U20" s="90"/>
      <c r="X20" s="91" t="s">
        <v>179</v>
      </c>
      <c r="Y20" s="82" t="s">
        <v>139</v>
      </c>
      <c r="Z20" s="82" t="s">
        <v>209</v>
      </c>
      <c r="AA20" s="82" t="s">
        <v>209</v>
      </c>
      <c r="AB20" s="82" t="s">
        <v>103</v>
      </c>
      <c r="AC20" s="82" t="s">
        <v>103</v>
      </c>
      <c r="AD20" s="92"/>
    </row>
    <row r="21" spans="2:30">
      <c r="B21" s="103"/>
      <c r="C21" s="104"/>
      <c r="D21" s="106" t="s">
        <v>158</v>
      </c>
      <c r="E21" s="103"/>
      <c r="F21" s="82"/>
      <c r="G21" s="107">
        <v>1</v>
      </c>
      <c r="H21" s="82"/>
      <c r="I21" s="82"/>
      <c r="J21" s="82"/>
      <c r="N21" s="91" t="s">
        <v>157</v>
      </c>
      <c r="O21" s="82" t="s">
        <v>139</v>
      </c>
      <c r="P21" s="82" t="s">
        <v>161</v>
      </c>
      <c r="Q21" s="82" t="s">
        <v>159</v>
      </c>
      <c r="R21" s="82" t="s">
        <v>162</v>
      </c>
      <c r="S21" s="82"/>
      <c r="T21" s="82"/>
      <c r="U21" s="92"/>
      <c r="X21" s="89" t="s">
        <v>179</v>
      </c>
      <c r="Y21" s="81" t="s">
        <v>139</v>
      </c>
      <c r="Z21" s="81" t="s">
        <v>210</v>
      </c>
      <c r="AA21" s="81" t="s">
        <v>210</v>
      </c>
      <c r="AB21" s="81" t="s">
        <v>103</v>
      </c>
      <c r="AC21" s="81" t="s">
        <v>103</v>
      </c>
      <c r="AD21" s="90"/>
    </row>
    <row r="22" spans="2:30">
      <c r="B22" s="103"/>
      <c r="C22" s="103"/>
      <c r="D22" s="103"/>
      <c r="E22" s="108" t="s">
        <v>169</v>
      </c>
      <c r="F22" s="82"/>
      <c r="G22" s="80"/>
      <c r="H22" s="82"/>
      <c r="I22" s="82"/>
      <c r="J22" s="82"/>
      <c r="N22" s="89" t="s">
        <v>82</v>
      </c>
      <c r="O22" s="81" t="s">
        <v>139</v>
      </c>
      <c r="P22" s="81" t="s">
        <v>163</v>
      </c>
      <c r="Q22" s="81" t="s">
        <v>164</v>
      </c>
      <c r="R22" s="81" t="s">
        <v>160</v>
      </c>
      <c r="S22" s="81"/>
      <c r="T22" s="81"/>
      <c r="U22" s="90"/>
      <c r="X22" s="91" t="s">
        <v>179</v>
      </c>
      <c r="Y22" s="82" t="s">
        <v>139</v>
      </c>
      <c r="Z22" s="82" t="s">
        <v>211</v>
      </c>
      <c r="AA22" s="82" t="s">
        <v>211</v>
      </c>
      <c r="AB22" s="82" t="s">
        <v>103</v>
      </c>
      <c r="AC22" s="82" t="s">
        <v>103</v>
      </c>
      <c r="AD22" s="92"/>
    </row>
    <row r="23" spans="2:30">
      <c r="B23" s="103"/>
      <c r="C23" s="103"/>
      <c r="D23" s="103"/>
      <c r="E23" s="109" t="s">
        <v>144</v>
      </c>
      <c r="F23" s="82"/>
      <c r="G23" s="82"/>
      <c r="H23" s="110">
        <v>0.67500000000000004</v>
      </c>
      <c r="I23" s="82"/>
      <c r="J23" s="82"/>
      <c r="N23" s="91" t="s">
        <v>82</v>
      </c>
      <c r="O23" s="82" t="s">
        <v>139</v>
      </c>
      <c r="P23" s="82" t="s">
        <v>165</v>
      </c>
      <c r="Q23" s="82" t="s">
        <v>166</v>
      </c>
      <c r="R23" s="82" t="s">
        <v>160</v>
      </c>
      <c r="S23" s="82"/>
      <c r="T23" s="82"/>
      <c r="U23" s="92"/>
      <c r="X23" s="96" t="s">
        <v>179</v>
      </c>
      <c r="Y23" s="97" t="s">
        <v>139</v>
      </c>
      <c r="Z23" s="97" t="s">
        <v>212</v>
      </c>
      <c r="AA23" s="97" t="s">
        <v>212</v>
      </c>
      <c r="AB23" s="97" t="s">
        <v>103</v>
      </c>
      <c r="AC23" s="97" t="s">
        <v>103</v>
      </c>
      <c r="AD23" s="98"/>
    </row>
    <row r="24" spans="2:30">
      <c r="B24" s="102" t="s">
        <v>202</v>
      </c>
      <c r="C24" s="112" t="s">
        <v>203</v>
      </c>
      <c r="D24" s="112"/>
      <c r="E24" s="112"/>
      <c r="F24" s="105">
        <v>205774.511</v>
      </c>
      <c r="G24" s="83"/>
      <c r="H24" s="84"/>
      <c r="I24" s="105">
        <v>1</v>
      </c>
      <c r="J24" s="105">
        <v>1</v>
      </c>
      <c r="N24" s="89" t="s">
        <v>92</v>
      </c>
      <c r="O24" s="81" t="s">
        <v>139</v>
      </c>
      <c r="P24" s="81" t="s">
        <v>167</v>
      </c>
      <c r="Q24" s="81" t="s">
        <v>167</v>
      </c>
      <c r="R24" s="81" t="s">
        <v>103</v>
      </c>
      <c r="S24" s="81"/>
      <c r="T24" s="81"/>
      <c r="U24" s="90"/>
    </row>
    <row r="25" spans="2:30">
      <c r="B25" s="112"/>
      <c r="C25" s="112"/>
      <c r="D25" s="106" t="s">
        <v>158</v>
      </c>
      <c r="E25" s="112"/>
      <c r="F25" s="84"/>
      <c r="G25" s="107">
        <v>1</v>
      </c>
      <c r="H25" s="84"/>
      <c r="I25" s="84"/>
      <c r="J25" s="84"/>
      <c r="M25" s="1"/>
      <c r="N25" s="91" t="s">
        <v>92</v>
      </c>
      <c r="O25" s="82" t="s">
        <v>139</v>
      </c>
      <c r="P25" s="82" t="s">
        <v>168</v>
      </c>
      <c r="Q25" s="82" t="s">
        <v>168</v>
      </c>
      <c r="R25" s="82" t="s">
        <v>103</v>
      </c>
      <c r="S25" s="82"/>
      <c r="T25" s="82"/>
      <c r="U25" s="92"/>
    </row>
    <row r="26" spans="2:30">
      <c r="B26" s="112"/>
      <c r="C26" s="112"/>
      <c r="D26" s="112"/>
      <c r="E26" s="108" t="s">
        <v>170</v>
      </c>
      <c r="F26" s="84"/>
      <c r="G26" s="84"/>
      <c r="H26" s="84"/>
      <c r="I26" s="84"/>
      <c r="J26" s="84"/>
      <c r="M26" s="1"/>
      <c r="N26" s="89" t="s">
        <v>92</v>
      </c>
      <c r="O26" s="81" t="s">
        <v>139</v>
      </c>
      <c r="P26" s="81" t="s">
        <v>169</v>
      </c>
      <c r="Q26" s="81" t="s">
        <v>169</v>
      </c>
      <c r="R26" s="81" t="s">
        <v>103</v>
      </c>
      <c r="S26" s="81"/>
      <c r="T26" s="81"/>
      <c r="U26" s="90"/>
    </row>
    <row r="27" spans="2:30">
      <c r="B27" s="112"/>
      <c r="C27" s="112"/>
      <c r="D27" s="112"/>
      <c r="E27" s="109" t="s">
        <v>146</v>
      </c>
      <c r="F27" s="84"/>
      <c r="G27" s="84"/>
      <c r="H27" s="110">
        <v>1.125E-2</v>
      </c>
      <c r="I27" s="84"/>
      <c r="J27" s="84"/>
      <c r="M27" s="1"/>
      <c r="N27" s="91" t="s">
        <v>92</v>
      </c>
      <c r="O27" s="82" t="s">
        <v>139</v>
      </c>
      <c r="P27" s="82" t="s">
        <v>170</v>
      </c>
      <c r="Q27" s="82" t="s">
        <v>170</v>
      </c>
      <c r="R27" s="82" t="s">
        <v>103</v>
      </c>
      <c r="S27" s="82"/>
      <c r="T27" s="82"/>
      <c r="U27" s="92"/>
    </row>
    <row r="28" spans="2:30">
      <c r="M28" s="1"/>
      <c r="N28" s="89" t="s">
        <v>92</v>
      </c>
      <c r="O28" s="81" t="s">
        <v>139</v>
      </c>
      <c r="P28" s="81" t="s">
        <v>171</v>
      </c>
      <c r="Q28" s="81" t="s">
        <v>149</v>
      </c>
      <c r="R28" s="81" t="s">
        <v>103</v>
      </c>
      <c r="S28" s="81"/>
      <c r="T28" s="81"/>
      <c r="U28" s="90"/>
    </row>
    <row r="29" spans="2:30">
      <c r="N29" s="91" t="s">
        <v>92</v>
      </c>
      <c r="O29" s="82" t="s">
        <v>139</v>
      </c>
      <c r="P29" s="82" t="s">
        <v>172</v>
      </c>
      <c r="Q29" s="82" t="s">
        <v>149</v>
      </c>
      <c r="R29" s="82" t="s">
        <v>103</v>
      </c>
      <c r="S29" s="82"/>
      <c r="T29" s="82"/>
      <c r="U29" s="92"/>
    </row>
    <row r="30" spans="2:30">
      <c r="N30" s="89" t="s">
        <v>92</v>
      </c>
      <c r="O30" s="81" t="s">
        <v>139</v>
      </c>
      <c r="P30" s="81" t="s">
        <v>173</v>
      </c>
      <c r="Q30" s="81" t="s">
        <v>149</v>
      </c>
      <c r="R30" s="81" t="s">
        <v>103</v>
      </c>
      <c r="S30" s="81"/>
      <c r="T30" s="81"/>
      <c r="U30" s="90"/>
    </row>
    <row r="31" spans="2:30">
      <c r="D31" s="5" t="s">
        <v>11</v>
      </c>
      <c r="E31" s="5"/>
      <c r="F31" s="5"/>
      <c r="H31" s="5"/>
      <c r="I31" s="56"/>
      <c r="J31" s="56"/>
      <c r="N31" s="91" t="s">
        <v>92</v>
      </c>
      <c r="O31" s="82" t="s">
        <v>139</v>
      </c>
      <c r="P31" s="82" t="s">
        <v>174</v>
      </c>
      <c r="Q31" s="82" t="s">
        <v>149</v>
      </c>
      <c r="R31" s="82" t="s">
        <v>103</v>
      </c>
      <c r="S31" s="82"/>
      <c r="T31" s="82"/>
      <c r="U31" s="92"/>
    </row>
    <row r="32" spans="2:30">
      <c r="B32" s="58" t="s">
        <v>1</v>
      </c>
      <c r="C32" s="58" t="s">
        <v>215</v>
      </c>
      <c r="D32" s="58" t="s">
        <v>5</v>
      </c>
      <c r="E32" s="58" t="s">
        <v>6</v>
      </c>
      <c r="F32" s="67" t="s">
        <v>115</v>
      </c>
      <c r="G32" s="58" t="s">
        <v>217</v>
      </c>
      <c r="H32" s="58" t="s">
        <v>218</v>
      </c>
      <c r="I32" s="58" t="s">
        <v>219</v>
      </c>
      <c r="J32" s="58" t="s">
        <v>226</v>
      </c>
      <c r="K32" s="58" t="s">
        <v>116</v>
      </c>
      <c r="N32" s="89" t="s">
        <v>92</v>
      </c>
      <c r="O32" s="81" t="s">
        <v>139</v>
      </c>
      <c r="P32" s="81" t="s">
        <v>175</v>
      </c>
      <c r="Q32" s="81" t="s">
        <v>149</v>
      </c>
      <c r="R32" s="81" t="s">
        <v>103</v>
      </c>
      <c r="S32" s="81"/>
      <c r="T32" s="81"/>
      <c r="U32" s="90"/>
    </row>
    <row r="33" spans="2:21" ht="31.2">
      <c r="B33" s="12" t="s">
        <v>33</v>
      </c>
      <c r="C33" s="12" t="s">
        <v>214</v>
      </c>
      <c r="D33" s="12" t="s">
        <v>26</v>
      </c>
      <c r="E33" s="12" t="s">
        <v>27</v>
      </c>
      <c r="F33" s="12" t="s">
        <v>118</v>
      </c>
      <c r="G33" s="12" t="s">
        <v>220</v>
      </c>
      <c r="H33" s="66" t="s">
        <v>221</v>
      </c>
      <c r="I33" s="12"/>
      <c r="J33" s="12"/>
      <c r="K33" s="12"/>
      <c r="N33" s="91" t="s">
        <v>92</v>
      </c>
      <c r="O33" s="82" t="s">
        <v>139</v>
      </c>
      <c r="P33" s="82" t="s">
        <v>176</v>
      </c>
      <c r="Q33" s="82" t="s">
        <v>149</v>
      </c>
      <c r="R33" s="82" t="s">
        <v>103</v>
      </c>
      <c r="S33" s="82"/>
      <c r="T33" s="82"/>
      <c r="U33" s="92"/>
    </row>
    <row r="34" spans="2:21">
      <c r="B34" s="12" t="s">
        <v>97</v>
      </c>
      <c r="C34" s="12" t="s">
        <v>97</v>
      </c>
      <c r="D34" s="12"/>
      <c r="E34" s="12"/>
      <c r="F34" s="101" t="s">
        <v>223</v>
      </c>
      <c r="G34" s="101" t="s">
        <v>224</v>
      </c>
      <c r="H34" s="99" t="s">
        <v>225</v>
      </c>
      <c r="I34" s="101"/>
      <c r="J34" s="101" t="s">
        <v>225</v>
      </c>
      <c r="K34" s="101"/>
      <c r="N34" s="89" t="s">
        <v>92</v>
      </c>
      <c r="O34" s="81" t="s">
        <v>139</v>
      </c>
      <c r="P34" s="81" t="s">
        <v>177</v>
      </c>
      <c r="Q34" s="81" t="s">
        <v>149</v>
      </c>
      <c r="R34" s="81" t="s">
        <v>103</v>
      </c>
      <c r="S34" s="81"/>
      <c r="T34" s="81"/>
      <c r="U34" s="90"/>
    </row>
    <row r="35" spans="2:21">
      <c r="B35" s="120" t="s">
        <v>205</v>
      </c>
      <c r="C35" s="100" t="s">
        <v>205</v>
      </c>
      <c r="D35" s="125"/>
      <c r="E35" s="125"/>
      <c r="F35" s="113">
        <v>2373.3000000000002</v>
      </c>
      <c r="G35" s="125"/>
      <c r="H35" s="125"/>
      <c r="I35" s="100">
        <v>1</v>
      </c>
      <c r="J35" s="125"/>
      <c r="K35" s="114">
        <v>1</v>
      </c>
      <c r="N35" s="93" t="s">
        <v>92</v>
      </c>
      <c r="O35" s="94" t="s">
        <v>139</v>
      </c>
      <c r="P35" s="94" t="s">
        <v>178</v>
      </c>
      <c r="Q35" s="94" t="s">
        <v>149</v>
      </c>
      <c r="R35" s="94" t="s">
        <v>103</v>
      </c>
      <c r="S35" s="94"/>
      <c r="T35" s="94"/>
      <c r="U35" s="95"/>
    </row>
    <row r="36" spans="2:21">
      <c r="B36" s="121"/>
      <c r="C36" s="123"/>
      <c r="D36" s="117" t="s">
        <v>161</v>
      </c>
      <c r="E36" s="123"/>
      <c r="F36" s="123"/>
      <c r="G36" s="117">
        <v>1</v>
      </c>
      <c r="H36" s="123"/>
      <c r="I36" s="123"/>
      <c r="J36" s="123"/>
      <c r="K36" s="127"/>
    </row>
    <row r="37" spans="2:21">
      <c r="B37" s="121"/>
      <c r="C37" s="123"/>
      <c r="D37" s="123"/>
      <c r="E37" s="108" t="s">
        <v>171</v>
      </c>
      <c r="F37" s="123"/>
      <c r="G37" s="123"/>
      <c r="H37" s="123"/>
      <c r="I37" s="123"/>
      <c r="J37" s="108">
        <v>5.34</v>
      </c>
      <c r="K37" s="127"/>
    </row>
    <row r="38" spans="2:21">
      <c r="B38" s="121"/>
      <c r="C38" s="123"/>
      <c r="D38" s="123"/>
      <c r="E38" s="109" t="s">
        <v>148</v>
      </c>
      <c r="F38" s="123"/>
      <c r="G38" s="123"/>
      <c r="H38" s="109">
        <v>0.78389961188850954</v>
      </c>
      <c r="I38" s="123"/>
      <c r="J38" s="123"/>
      <c r="K38" s="127"/>
    </row>
    <row r="39" spans="2:21">
      <c r="B39" s="121" t="s">
        <v>206</v>
      </c>
      <c r="C39" s="102" t="s">
        <v>206</v>
      </c>
      <c r="D39" s="123"/>
      <c r="E39" s="123"/>
      <c r="F39" s="102">
        <v>675.3</v>
      </c>
      <c r="G39" s="123"/>
      <c r="H39" s="123"/>
      <c r="I39" s="102">
        <v>1</v>
      </c>
      <c r="J39" s="123"/>
      <c r="K39" s="115">
        <v>1</v>
      </c>
    </row>
    <row r="40" spans="2:21">
      <c r="B40" s="121"/>
      <c r="C40" s="123"/>
      <c r="D40" s="117" t="s">
        <v>161</v>
      </c>
      <c r="E40" s="123"/>
      <c r="F40" s="123"/>
      <c r="G40" s="117">
        <v>1</v>
      </c>
      <c r="H40" s="123"/>
      <c r="I40" s="123"/>
      <c r="J40" s="123"/>
      <c r="K40" s="127"/>
    </row>
    <row r="41" spans="2:21">
      <c r="B41" s="121"/>
      <c r="C41" s="123"/>
      <c r="D41" s="123"/>
      <c r="E41" s="108" t="s">
        <v>172</v>
      </c>
      <c r="F41" s="123"/>
      <c r="G41" s="123"/>
      <c r="H41" s="123"/>
      <c r="I41" s="123"/>
      <c r="J41" s="108">
        <v>4.4399999999999995</v>
      </c>
      <c r="K41" s="127"/>
    </row>
    <row r="42" spans="2:21">
      <c r="B42" s="121"/>
      <c r="C42" s="123"/>
      <c r="D42" s="123"/>
      <c r="E42" s="109" t="s">
        <v>150</v>
      </c>
      <c r="F42" s="123"/>
      <c r="G42" s="123"/>
      <c r="H42" s="109">
        <v>0.58652764282541103</v>
      </c>
      <c r="I42" s="123"/>
      <c r="J42" s="123"/>
      <c r="K42" s="127"/>
    </row>
    <row r="43" spans="2:21">
      <c r="B43" s="121" t="s">
        <v>207</v>
      </c>
      <c r="C43" s="102" t="s">
        <v>207</v>
      </c>
      <c r="D43" s="123"/>
      <c r="E43" s="123"/>
      <c r="F43" s="102">
        <v>946.1</v>
      </c>
      <c r="G43" s="123"/>
      <c r="H43" s="123"/>
      <c r="I43" s="102">
        <v>1</v>
      </c>
      <c r="J43" s="123"/>
      <c r="K43" s="115">
        <v>1</v>
      </c>
    </row>
    <row r="44" spans="2:21">
      <c r="B44" s="121"/>
      <c r="C44" s="123"/>
      <c r="D44" s="117" t="s">
        <v>161</v>
      </c>
      <c r="E44" s="123"/>
      <c r="F44" s="123"/>
      <c r="G44" s="117">
        <v>1</v>
      </c>
      <c r="H44" s="123"/>
      <c r="I44" s="123"/>
      <c r="J44" s="123"/>
      <c r="K44" s="127"/>
    </row>
    <row r="45" spans="2:21">
      <c r="B45" s="121"/>
      <c r="C45" s="123"/>
      <c r="D45" s="123"/>
      <c r="E45" s="108" t="s">
        <v>173</v>
      </c>
      <c r="F45" s="123"/>
      <c r="G45" s="123"/>
      <c r="H45" s="123"/>
      <c r="I45" s="123"/>
      <c r="J45" s="118">
        <v>7.2099999999999991</v>
      </c>
      <c r="K45" s="127"/>
    </row>
    <row r="46" spans="2:21">
      <c r="B46" s="121"/>
      <c r="C46" s="123"/>
      <c r="D46" s="123"/>
      <c r="E46" s="109" t="s">
        <v>151</v>
      </c>
      <c r="F46" s="123"/>
      <c r="G46" s="123"/>
      <c r="H46" s="109">
        <v>1.0588164699503224</v>
      </c>
      <c r="I46" s="123"/>
      <c r="J46" s="128" t="s">
        <v>227</v>
      </c>
      <c r="K46" s="127"/>
    </row>
    <row r="47" spans="2:21">
      <c r="B47" s="121" t="s">
        <v>208</v>
      </c>
      <c r="C47" s="102" t="s">
        <v>208</v>
      </c>
      <c r="D47" s="123"/>
      <c r="E47" s="123"/>
      <c r="F47" s="102">
        <v>590.9</v>
      </c>
      <c r="G47" s="104"/>
      <c r="H47" s="123"/>
      <c r="I47" s="102">
        <v>1</v>
      </c>
      <c r="J47" s="123"/>
      <c r="K47" s="115">
        <v>1</v>
      </c>
    </row>
    <row r="48" spans="2:21">
      <c r="B48" s="121"/>
      <c r="C48" s="123"/>
      <c r="D48" s="117" t="s">
        <v>161</v>
      </c>
      <c r="E48" s="123"/>
      <c r="F48" s="123"/>
      <c r="G48" s="117">
        <v>1</v>
      </c>
      <c r="H48" s="123"/>
      <c r="I48" s="123"/>
      <c r="J48" s="104"/>
      <c r="K48" s="127"/>
    </row>
    <row r="49" spans="2:11">
      <c r="B49" s="121"/>
      <c r="C49" s="123"/>
      <c r="D49" s="123"/>
      <c r="E49" s="108" t="s">
        <v>174</v>
      </c>
      <c r="F49" s="123"/>
      <c r="G49" s="123"/>
      <c r="H49" s="123"/>
      <c r="I49" s="123"/>
      <c r="J49" s="118">
        <v>3.5200000000000005</v>
      </c>
      <c r="K49" s="127"/>
    </row>
    <row r="50" spans="2:11">
      <c r="B50" s="121"/>
      <c r="C50" s="123"/>
      <c r="D50" s="123"/>
      <c r="E50" s="109" t="s">
        <v>152</v>
      </c>
      <c r="F50" s="123"/>
      <c r="G50" s="123"/>
      <c r="H50" s="109">
        <v>0.52271761254019289</v>
      </c>
      <c r="I50" s="123"/>
      <c r="J50" s="123"/>
      <c r="K50" s="127"/>
    </row>
    <row r="51" spans="2:11">
      <c r="B51" s="121" t="s">
        <v>209</v>
      </c>
      <c r="C51" s="102" t="s">
        <v>209</v>
      </c>
      <c r="D51" s="123"/>
      <c r="E51" s="123"/>
      <c r="F51" s="116">
        <v>1389</v>
      </c>
      <c r="G51" s="123"/>
      <c r="H51" s="123"/>
      <c r="I51" s="102">
        <v>1</v>
      </c>
      <c r="J51" s="123"/>
      <c r="K51" s="115">
        <v>1</v>
      </c>
    </row>
    <row r="52" spans="2:11">
      <c r="B52" s="121"/>
      <c r="C52" s="123"/>
      <c r="D52" s="117" t="s">
        <v>161</v>
      </c>
      <c r="E52" s="123"/>
      <c r="F52" s="123"/>
      <c r="G52" s="117">
        <v>1</v>
      </c>
      <c r="H52" s="123"/>
      <c r="I52" s="123"/>
      <c r="J52" s="123"/>
      <c r="K52" s="127"/>
    </row>
    <row r="53" spans="2:11">
      <c r="B53" s="121"/>
      <c r="C53" s="123"/>
      <c r="D53" s="123"/>
      <c r="E53" s="108" t="s">
        <v>175</v>
      </c>
      <c r="F53" s="123"/>
      <c r="G53" s="123"/>
      <c r="H53" s="123"/>
      <c r="I53" s="123"/>
      <c r="J53" s="108">
        <v>4.46</v>
      </c>
      <c r="K53" s="127"/>
    </row>
    <row r="54" spans="2:11">
      <c r="B54" s="121"/>
      <c r="C54" s="123"/>
      <c r="D54" s="123"/>
      <c r="E54" s="109" t="s">
        <v>153</v>
      </c>
      <c r="F54" s="123"/>
      <c r="G54" s="123"/>
      <c r="H54" s="109">
        <v>0.80952866511879074</v>
      </c>
      <c r="I54" s="123"/>
      <c r="J54" s="123"/>
      <c r="K54" s="127"/>
    </row>
    <row r="55" spans="2:11">
      <c r="B55" s="121" t="s">
        <v>210</v>
      </c>
      <c r="C55" s="102" t="s">
        <v>210</v>
      </c>
      <c r="D55" s="123"/>
      <c r="E55" s="123"/>
      <c r="F55" s="102">
        <v>500.1</v>
      </c>
      <c r="G55" s="123"/>
      <c r="H55" s="123"/>
      <c r="I55" s="102">
        <v>1</v>
      </c>
      <c r="J55" s="123"/>
      <c r="K55" s="115">
        <v>1</v>
      </c>
    </row>
    <row r="56" spans="2:11">
      <c r="B56" s="121"/>
      <c r="C56" s="123"/>
      <c r="D56" s="117" t="s">
        <v>161</v>
      </c>
      <c r="E56" s="123"/>
      <c r="F56" s="123"/>
      <c r="G56" s="117">
        <v>1</v>
      </c>
      <c r="H56" s="123"/>
      <c r="I56" s="123"/>
      <c r="J56" s="123"/>
      <c r="K56" s="127"/>
    </row>
    <row r="57" spans="2:11">
      <c r="B57" s="121"/>
      <c r="C57" s="123"/>
      <c r="D57" s="123"/>
      <c r="E57" s="108" t="s">
        <v>176</v>
      </c>
      <c r="F57" s="123"/>
      <c r="G57" s="123"/>
      <c r="H57" s="123"/>
      <c r="I57" s="123"/>
      <c r="J57" s="108">
        <v>3.3200000000000003</v>
      </c>
      <c r="K57" s="127"/>
    </row>
    <row r="58" spans="2:11">
      <c r="B58" s="121"/>
      <c r="C58" s="123"/>
      <c r="D58" s="123"/>
      <c r="E58" s="109" t="s">
        <v>154</v>
      </c>
      <c r="F58" s="123"/>
      <c r="G58" s="123"/>
      <c r="H58" s="109">
        <v>0.60172868116376732</v>
      </c>
      <c r="I58" s="123"/>
      <c r="J58" s="123"/>
      <c r="K58" s="127"/>
    </row>
    <row r="59" spans="2:11">
      <c r="B59" s="121" t="s">
        <v>211</v>
      </c>
      <c r="C59" s="102" t="s">
        <v>211</v>
      </c>
      <c r="D59" s="123"/>
      <c r="E59" s="123"/>
      <c r="F59" s="102">
        <v>843.6</v>
      </c>
      <c r="G59" s="123"/>
      <c r="H59" s="123"/>
      <c r="I59" s="102">
        <v>1</v>
      </c>
      <c r="J59" s="123"/>
      <c r="K59" s="115">
        <v>1</v>
      </c>
    </row>
    <row r="60" spans="2:11">
      <c r="B60" s="121"/>
      <c r="C60" s="123"/>
      <c r="D60" s="117" t="s">
        <v>161</v>
      </c>
      <c r="E60" s="123"/>
      <c r="F60" s="123"/>
      <c r="G60" s="117">
        <v>1</v>
      </c>
      <c r="H60" s="123"/>
      <c r="I60" s="123"/>
      <c r="J60" s="123"/>
      <c r="K60" s="127"/>
    </row>
    <row r="61" spans="2:11">
      <c r="B61" s="121"/>
      <c r="C61" s="123"/>
      <c r="D61" s="123"/>
      <c r="E61" s="108" t="s">
        <v>177</v>
      </c>
      <c r="F61" s="123"/>
      <c r="G61" s="123"/>
      <c r="H61" s="123"/>
      <c r="I61" s="123"/>
      <c r="J61" s="108">
        <v>3.5100000000000002</v>
      </c>
      <c r="K61" s="127"/>
    </row>
    <row r="62" spans="2:11">
      <c r="B62" s="121"/>
      <c r="C62" s="123"/>
      <c r="D62" s="123"/>
      <c r="E62" s="109" t="s">
        <v>155</v>
      </c>
      <c r="F62" s="123"/>
      <c r="G62" s="123"/>
      <c r="H62" s="109">
        <v>3.2383000000000002</v>
      </c>
      <c r="I62" s="123"/>
      <c r="J62" s="123"/>
      <c r="K62" s="127"/>
    </row>
    <row r="63" spans="2:11">
      <c r="B63" s="121" t="s">
        <v>212</v>
      </c>
      <c r="C63" s="102" t="s">
        <v>212</v>
      </c>
      <c r="D63" s="123"/>
      <c r="E63" s="123"/>
      <c r="F63" s="102">
        <v>90.399999999999991</v>
      </c>
      <c r="G63" s="123"/>
      <c r="H63" s="123"/>
      <c r="I63" s="102">
        <v>1</v>
      </c>
      <c r="J63" s="123"/>
      <c r="K63" s="115">
        <v>1</v>
      </c>
    </row>
    <row r="64" spans="2:11">
      <c r="B64" s="121"/>
      <c r="C64" s="123"/>
      <c r="D64" s="117" t="s">
        <v>161</v>
      </c>
      <c r="E64" s="123"/>
      <c r="F64" s="123"/>
      <c r="G64" s="117">
        <v>1</v>
      </c>
      <c r="H64" s="123"/>
      <c r="I64" s="123"/>
      <c r="J64" s="123"/>
      <c r="K64" s="127"/>
    </row>
    <row r="65" spans="2:20">
      <c r="B65" s="121"/>
      <c r="C65" s="123"/>
      <c r="D65" s="123"/>
      <c r="E65" s="108" t="s">
        <v>178</v>
      </c>
      <c r="F65" s="123"/>
      <c r="G65" s="123"/>
      <c r="H65" s="123"/>
      <c r="I65" s="123"/>
      <c r="J65" s="118">
        <v>1.6149999999999998</v>
      </c>
      <c r="K65" s="127"/>
    </row>
    <row r="66" spans="2:20">
      <c r="B66" s="122"/>
      <c r="C66" s="124"/>
      <c r="D66" s="124"/>
      <c r="E66" s="119" t="s">
        <v>156</v>
      </c>
      <c r="F66" s="124"/>
      <c r="G66" s="124"/>
      <c r="H66" s="119">
        <v>0.42731568584070806</v>
      </c>
      <c r="I66" s="124"/>
      <c r="J66" s="124"/>
      <c r="K66" s="126"/>
    </row>
    <row r="69" spans="2:20">
      <c r="D69" s="5"/>
      <c r="E69" s="5"/>
      <c r="F69" s="5" t="s">
        <v>11</v>
      </c>
      <c r="H69" s="5"/>
      <c r="I69" s="56"/>
      <c r="J69" s="56"/>
      <c r="N69" s="5"/>
      <c r="O69" s="5"/>
      <c r="P69" s="5"/>
      <c r="R69" s="5"/>
      <c r="S69" s="56"/>
      <c r="T69" s="56"/>
    </row>
    <row r="70" spans="2:20">
      <c r="B70" s="58" t="s">
        <v>1</v>
      </c>
      <c r="C70" s="58" t="s">
        <v>213</v>
      </c>
      <c r="D70" s="58" t="s">
        <v>5</v>
      </c>
      <c r="E70" s="58" t="s">
        <v>6</v>
      </c>
      <c r="F70" s="67" t="s">
        <v>115</v>
      </c>
      <c r="G70" s="58" t="s">
        <v>228</v>
      </c>
      <c r="H70" s="58" t="s">
        <v>226</v>
      </c>
      <c r="I70" s="58" t="s">
        <v>229</v>
      </c>
      <c r="J70" s="67" t="s">
        <v>230</v>
      </c>
      <c r="K70" s="58" t="s">
        <v>129</v>
      </c>
      <c r="L70" s="58" t="s">
        <v>117</v>
      </c>
      <c r="M70" s="58" t="s">
        <v>219</v>
      </c>
      <c r="N70" s="58" t="s">
        <v>231</v>
      </c>
      <c r="O70" s="58" t="s">
        <v>232</v>
      </c>
      <c r="P70" s="58" t="s">
        <v>233</v>
      </c>
    </row>
    <row r="71" spans="2:20" ht="31.2">
      <c r="B71" s="12" t="s">
        <v>234</v>
      </c>
      <c r="C71" s="12" t="s">
        <v>214</v>
      </c>
      <c r="D71" s="12" t="s">
        <v>235</v>
      </c>
      <c r="E71" s="12" t="s">
        <v>236</v>
      </c>
      <c r="F71" s="12" t="s">
        <v>237</v>
      </c>
      <c r="G71" s="12" t="s">
        <v>238</v>
      </c>
      <c r="H71" s="12" t="s">
        <v>239</v>
      </c>
      <c r="I71" s="12" t="s">
        <v>240</v>
      </c>
      <c r="J71" s="12" t="s">
        <v>241</v>
      </c>
      <c r="K71" s="12"/>
      <c r="L71" s="12"/>
      <c r="M71" s="12" t="s">
        <v>242</v>
      </c>
      <c r="N71" s="12" t="s">
        <v>243</v>
      </c>
      <c r="O71" s="12"/>
      <c r="P71" s="12"/>
    </row>
    <row r="72" spans="2:20">
      <c r="B72" s="129" t="s">
        <v>185</v>
      </c>
      <c r="C72" s="130" t="s">
        <v>186</v>
      </c>
      <c r="D72" s="130"/>
      <c r="E72" s="130"/>
      <c r="F72" s="130">
        <v>374</v>
      </c>
      <c r="G72" s="130"/>
      <c r="H72" s="130"/>
      <c r="I72" s="130"/>
      <c r="J72" s="130"/>
      <c r="K72" s="130">
        <v>0.57499999999999996</v>
      </c>
      <c r="L72" s="130"/>
      <c r="M72" s="130">
        <v>1</v>
      </c>
      <c r="N72" s="130"/>
      <c r="O72" s="130">
        <v>1</v>
      </c>
      <c r="P72" s="131"/>
    </row>
    <row r="73" spans="2:20">
      <c r="B73" s="132"/>
      <c r="C73" s="80"/>
      <c r="D73" s="80" t="s">
        <v>148</v>
      </c>
      <c r="E73" s="80"/>
      <c r="F73" s="80"/>
      <c r="G73" s="80"/>
      <c r="H73" s="80"/>
      <c r="I73" s="80">
        <v>0.30590000000000001</v>
      </c>
      <c r="J73" s="80">
        <v>3.9503432358734485E-2</v>
      </c>
      <c r="K73" s="80"/>
      <c r="L73" s="80"/>
      <c r="M73" s="80"/>
      <c r="N73" s="80">
        <v>0.14710689767898008</v>
      </c>
      <c r="O73" s="80"/>
      <c r="P73" s="133">
        <v>3</v>
      </c>
    </row>
    <row r="74" spans="2:20">
      <c r="B74" s="132"/>
      <c r="C74" s="80"/>
      <c r="D74" s="80" t="s">
        <v>150</v>
      </c>
      <c r="E74" s="80"/>
      <c r="F74" s="80"/>
      <c r="G74" s="80"/>
      <c r="H74" s="80"/>
      <c r="I74" s="80">
        <v>0.30590000000000001</v>
      </c>
      <c r="J74" s="80">
        <v>8.4102126741297106E-3</v>
      </c>
      <c r="K74" s="80"/>
      <c r="L74" s="80"/>
      <c r="M74" s="80"/>
      <c r="N74" s="80">
        <v>0.14710689767898008</v>
      </c>
      <c r="O74" s="80"/>
      <c r="P74" s="133">
        <v>3</v>
      </c>
    </row>
    <row r="75" spans="2:20">
      <c r="B75" s="132"/>
      <c r="C75" s="80"/>
      <c r="D75" s="80" t="s">
        <v>151</v>
      </c>
      <c r="E75" s="80"/>
      <c r="F75" s="80"/>
      <c r="G75" s="80"/>
      <c r="H75" s="80"/>
      <c r="I75" s="80">
        <v>0.38854999999999995</v>
      </c>
      <c r="J75" s="80">
        <v>2.1270586943794263E-2</v>
      </c>
      <c r="K75" s="80"/>
      <c r="L75" s="80"/>
      <c r="M75" s="80"/>
      <c r="N75" s="80">
        <v>0.11581521039763223</v>
      </c>
      <c r="O75" s="80"/>
      <c r="P75" s="133">
        <v>3</v>
      </c>
    </row>
    <row r="76" spans="2:20">
      <c r="B76" s="132"/>
      <c r="C76" s="80"/>
      <c r="D76" s="80" t="s">
        <v>152</v>
      </c>
      <c r="E76" s="80"/>
      <c r="F76" s="80"/>
      <c r="G76" s="80"/>
      <c r="H76" s="80"/>
      <c r="I76" s="80">
        <v>0.30590000000000001</v>
      </c>
      <c r="J76" s="80">
        <v>6.5584749927887608E-3</v>
      </c>
      <c r="K76" s="80"/>
      <c r="L76" s="80"/>
      <c r="M76" s="80"/>
      <c r="N76" s="80">
        <v>0.14710689767898008</v>
      </c>
      <c r="O76" s="80"/>
      <c r="P76" s="133">
        <v>3</v>
      </c>
    </row>
    <row r="77" spans="2:20">
      <c r="B77" s="132"/>
      <c r="C77" s="80"/>
      <c r="D77" s="80" t="s">
        <v>153</v>
      </c>
      <c r="E77" s="80"/>
      <c r="F77" s="80"/>
      <c r="G77" s="80"/>
      <c r="H77" s="80"/>
      <c r="I77" s="80">
        <v>0.30590000000000001</v>
      </c>
      <c r="J77" s="80">
        <v>2.3875705905262001E-2</v>
      </c>
      <c r="K77" s="80"/>
      <c r="L77" s="80"/>
      <c r="M77" s="80"/>
      <c r="N77" s="80">
        <v>0.14710689767898008</v>
      </c>
      <c r="O77" s="80"/>
      <c r="P77" s="133">
        <v>3</v>
      </c>
    </row>
    <row r="78" spans="2:20">
      <c r="B78" s="132"/>
      <c r="C78" s="80"/>
      <c r="D78" s="80" t="s">
        <v>154</v>
      </c>
      <c r="E78" s="80"/>
      <c r="F78" s="80"/>
      <c r="G78" s="80"/>
      <c r="H78" s="80"/>
      <c r="I78" s="80">
        <v>0.30590000000000001</v>
      </c>
      <c r="J78" s="80">
        <v>6.3896829648978333E-3</v>
      </c>
      <c r="K78" s="80"/>
      <c r="L78" s="80"/>
      <c r="M78" s="80"/>
      <c r="N78" s="80">
        <v>0.14710689767898008</v>
      </c>
      <c r="O78" s="80"/>
      <c r="P78" s="133">
        <v>3</v>
      </c>
    </row>
    <row r="79" spans="2:20">
      <c r="B79" s="132"/>
      <c r="C79" s="80"/>
      <c r="D79" s="80" t="s">
        <v>155</v>
      </c>
      <c r="E79" s="80"/>
      <c r="F79" s="80"/>
      <c r="G79" s="80"/>
      <c r="H79" s="80"/>
      <c r="I79" s="80">
        <v>0.30590000000000001</v>
      </c>
      <c r="J79" s="80">
        <v>5.8006330714347756E-2</v>
      </c>
      <c r="K79" s="80"/>
      <c r="L79" s="80"/>
      <c r="M79" s="80"/>
      <c r="N79" s="80">
        <v>0.14710689767898008</v>
      </c>
      <c r="O79" s="80"/>
      <c r="P79" s="133">
        <v>3</v>
      </c>
    </row>
    <row r="80" spans="2:20">
      <c r="B80" s="132"/>
      <c r="C80" s="80"/>
      <c r="D80" s="80" t="s">
        <v>156</v>
      </c>
      <c r="E80" s="80"/>
      <c r="F80" s="80"/>
      <c r="G80" s="80"/>
      <c r="H80" s="80"/>
      <c r="I80" s="80">
        <v>0.30590000000000001</v>
      </c>
      <c r="J80" s="80">
        <v>8.2023634476987304E-4</v>
      </c>
      <c r="K80" s="80"/>
      <c r="L80" s="80"/>
      <c r="M80" s="80"/>
      <c r="N80" s="80">
        <v>0.14710689767898008</v>
      </c>
      <c r="O80" s="80"/>
      <c r="P80" s="133">
        <v>3</v>
      </c>
    </row>
    <row r="81" spans="2:16">
      <c r="B81" s="132"/>
      <c r="C81" s="80"/>
      <c r="D81" s="80" t="s">
        <v>140</v>
      </c>
      <c r="E81" s="80"/>
      <c r="F81" s="80"/>
      <c r="G81" s="80"/>
      <c r="H81" s="80"/>
      <c r="I81" s="80">
        <v>9.7849999999999993E-2</v>
      </c>
      <c r="J81" s="80">
        <v>0.37574134004647641</v>
      </c>
      <c r="K81" s="80"/>
      <c r="L81" s="80"/>
      <c r="M81" s="80"/>
      <c r="N81" s="80">
        <v>0.59785385794583545</v>
      </c>
      <c r="O81" s="80"/>
      <c r="P81" s="133">
        <v>3</v>
      </c>
    </row>
    <row r="82" spans="2:16">
      <c r="B82" s="132"/>
      <c r="C82" s="80"/>
      <c r="D82" s="80" t="s">
        <v>142</v>
      </c>
      <c r="E82" s="80"/>
      <c r="F82" s="80"/>
      <c r="G82" s="80"/>
      <c r="H82" s="80"/>
      <c r="I82" s="80">
        <v>9.7849999999999993E-2</v>
      </c>
      <c r="J82" s="80">
        <v>0.24169799553269838</v>
      </c>
      <c r="K82" s="80"/>
      <c r="L82" s="80"/>
      <c r="M82" s="80"/>
      <c r="N82" s="80">
        <v>0.59785385794583545</v>
      </c>
      <c r="O82" s="80"/>
      <c r="P82" s="133">
        <v>3</v>
      </c>
    </row>
    <row r="83" spans="2:16">
      <c r="B83" s="132"/>
      <c r="C83" s="80"/>
      <c r="D83" s="80" t="s">
        <v>144</v>
      </c>
      <c r="E83" s="80"/>
      <c r="F83" s="80"/>
      <c r="G83" s="80"/>
      <c r="H83" s="80"/>
      <c r="I83" s="80">
        <v>1.1875E-2</v>
      </c>
      <c r="J83" s="80">
        <v>0.16808448388662312</v>
      </c>
      <c r="K83" s="80"/>
      <c r="L83" s="80"/>
      <c r="M83" s="80"/>
      <c r="N83" s="80">
        <v>4.9263157894736844</v>
      </c>
      <c r="O83" s="80"/>
      <c r="P83" s="133">
        <v>3</v>
      </c>
    </row>
    <row r="84" spans="2:16">
      <c r="B84" s="132"/>
      <c r="C84" s="80"/>
      <c r="D84" s="80" t="s">
        <v>146</v>
      </c>
      <c r="E84" s="80"/>
      <c r="F84" s="80"/>
      <c r="G84" s="80"/>
      <c r="H84" s="80"/>
      <c r="I84" s="80">
        <v>8.8349999999999998E-2</v>
      </c>
      <c r="J84" s="80">
        <v>4.9154789901687937E-2</v>
      </c>
      <c r="K84" s="80"/>
      <c r="L84" s="80"/>
      <c r="M84" s="80"/>
      <c r="N84" s="80">
        <v>0.66213921901528017</v>
      </c>
      <c r="O84" s="80"/>
      <c r="P84" s="133">
        <v>3</v>
      </c>
    </row>
    <row r="85" spans="2:16">
      <c r="B85" s="134"/>
      <c r="C85" s="6"/>
      <c r="D85" s="6"/>
      <c r="E85" s="135" t="s">
        <v>132</v>
      </c>
      <c r="F85" s="135"/>
      <c r="G85" s="135">
        <v>23</v>
      </c>
      <c r="H85" s="135">
        <v>2.3E-2</v>
      </c>
      <c r="I85" s="6"/>
      <c r="J85" s="6"/>
      <c r="K85" s="6"/>
      <c r="L85" s="6"/>
      <c r="M85" s="6"/>
      <c r="N85" s="6"/>
      <c r="O85" s="6"/>
      <c r="P85" s="136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topLeftCell="H1" zoomScale="77" zoomScaleNormal="85" workbookViewId="0">
      <selection activeCell="K1" sqref="K1:O28"/>
    </sheetView>
  </sheetViews>
  <sheetFormatPr defaultRowHeight="13.2"/>
  <cols>
    <col min="1" max="1" width="2" bestFit="1" customWidth="1"/>
    <col min="2" max="2" width="26.88671875" customWidth="1"/>
    <col min="3" max="3" width="23.33203125" customWidth="1"/>
    <col min="4" max="4" width="13.33203125" customWidth="1"/>
    <col min="5" max="5" width="7.5546875" bestFit="1" customWidth="1"/>
    <col min="6" max="6" width="8.33203125" bestFit="1" customWidth="1"/>
    <col min="7" max="7" width="13.109375" bestFit="1" customWidth="1"/>
    <col min="8" max="8" width="8.44140625" bestFit="1" customWidth="1"/>
    <col min="9" max="9" width="13.6640625" bestFit="1" customWidth="1"/>
    <col min="10" max="10" width="20" customWidth="1"/>
    <col min="11" max="11" width="11.6640625" customWidth="1"/>
    <col min="12" max="12" width="11.109375" customWidth="1"/>
    <col min="13" max="13" width="19.88671875" customWidth="1"/>
    <col min="14" max="14" width="6.109375" customWidth="1"/>
    <col min="15" max="15" width="11.5546875" customWidth="1"/>
  </cols>
  <sheetData>
    <row r="1" spans="2:7" ht="28.8">
      <c r="B1" s="21" t="s">
        <v>83</v>
      </c>
      <c r="C1" s="21" t="s">
        <v>84</v>
      </c>
      <c r="D1" s="21" t="s">
        <v>85</v>
      </c>
      <c r="E1" s="21" t="s">
        <v>87</v>
      </c>
      <c r="F1" s="13"/>
      <c r="G1" s="21" t="s">
        <v>88</v>
      </c>
    </row>
    <row r="2" spans="2:7" ht="15.6">
      <c r="B2" s="9"/>
      <c r="C2" s="9" t="str">
        <f>EnergyBalance!D2</f>
        <v>COA</v>
      </c>
      <c r="D2" s="9" t="str">
        <f>EnergyBalance!D3</f>
        <v>Solid Fuels</v>
      </c>
      <c r="E2" s="9" t="str">
        <f>EnergyBalance!R2</f>
        <v>PJ</v>
      </c>
      <c r="G2" s="9" t="str">
        <f>EnergyBalance!Q2</f>
        <v>M€2005</v>
      </c>
    </row>
    <row r="4" spans="2:7">
      <c r="C4" s="1"/>
    </row>
    <row r="7" spans="2:7">
      <c r="D7" s="5" t="s">
        <v>11</v>
      </c>
      <c r="G7" s="5"/>
    </row>
    <row r="8" spans="2:7">
      <c r="B8" s="2" t="s">
        <v>1</v>
      </c>
      <c r="C8" s="2" t="s">
        <v>213</v>
      </c>
      <c r="D8" s="2" t="s">
        <v>6</v>
      </c>
      <c r="E8" s="70" t="s">
        <v>30</v>
      </c>
    </row>
    <row r="9" spans="2:7" ht="13.8" thickBot="1">
      <c r="B9" s="11" t="s">
        <v>33</v>
      </c>
      <c r="C9" s="11" t="s">
        <v>214</v>
      </c>
      <c r="D9" s="11" t="s">
        <v>27</v>
      </c>
      <c r="E9" s="11" t="s">
        <v>98</v>
      </c>
    </row>
    <row r="10" spans="2:7" ht="21.6" thickBot="1">
      <c r="B10" s="11" t="s">
        <v>97</v>
      </c>
      <c r="C10" s="11" t="s">
        <v>97</v>
      </c>
      <c r="D10" s="10"/>
      <c r="E10" s="10" t="str">
        <f>$G$2&amp;"/"&amp;$E$2</f>
        <v>M€2005/PJ</v>
      </c>
    </row>
    <row r="11" spans="2:7" ht="15" customHeight="1">
      <c r="B11" s="86" t="s">
        <v>190</v>
      </c>
      <c r="C11" s="86" t="s">
        <v>191</v>
      </c>
      <c r="D11" s="86" t="s">
        <v>158</v>
      </c>
      <c r="E11" s="86">
        <v>1E-3</v>
      </c>
    </row>
    <row r="12" spans="2:7">
      <c r="B12" t="s">
        <v>193</v>
      </c>
      <c r="C12" t="s">
        <v>194</v>
      </c>
      <c r="D12" t="s">
        <v>161</v>
      </c>
      <c r="E12">
        <v>1E-3</v>
      </c>
    </row>
    <row r="25" spans="1:15" s="1" customForma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7" spans="1:15">
      <c r="A27" s="1"/>
    </row>
  </sheetData>
  <pageMargins left="0.75" right="0.75" top="1" bottom="1" header="0.5" footer="0.5"/>
  <pageSetup orientation="portrait" horizont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5"/>
  <sheetViews>
    <sheetView tabSelected="1" workbookViewId="0">
      <selection activeCell="F16" sqref="F16"/>
    </sheetView>
  </sheetViews>
  <sheetFormatPr defaultRowHeight="13.2"/>
  <cols>
    <col min="1" max="1" width="2" bestFit="1" customWidth="1"/>
    <col min="2" max="2" width="11.5546875" bestFit="1" customWidth="1"/>
    <col min="3" max="3" width="25.33203125" bestFit="1" customWidth="1"/>
    <col min="4" max="4" width="10.33203125" bestFit="1" customWidth="1"/>
    <col min="5" max="5" width="10.88671875" bestFit="1" customWidth="1"/>
    <col min="6" max="9" width="12.44140625" customWidth="1"/>
    <col min="10" max="10" width="7.33203125" customWidth="1"/>
    <col min="11" max="11" width="11.44140625" bestFit="1" customWidth="1"/>
  </cols>
  <sheetData>
    <row r="1" spans="2:9" ht="14.4">
      <c r="B1" s="8" t="s">
        <v>83</v>
      </c>
      <c r="C1" s="8" t="s">
        <v>84</v>
      </c>
      <c r="D1" s="8" t="s">
        <v>85</v>
      </c>
      <c r="E1" s="8" t="s">
        <v>87</v>
      </c>
      <c r="G1" s="8" t="s">
        <v>88</v>
      </c>
    </row>
    <row r="2" spans="2:9" ht="15.6">
      <c r="B2" s="9" t="s">
        <v>92</v>
      </c>
      <c r="C2" s="9"/>
      <c r="D2" s="9"/>
      <c r="E2" s="9" t="str">
        <f>EnergyBalance!R2</f>
        <v>PJ</v>
      </c>
      <c r="G2" s="9" t="str">
        <f>EnergyBalance!Q2</f>
        <v>M€2005</v>
      </c>
    </row>
    <row r="5" spans="2:9">
      <c r="C5" s="4" t="s">
        <v>11</v>
      </c>
      <c r="D5" s="4"/>
      <c r="E5" s="1"/>
    </row>
    <row r="6" spans="2:9">
      <c r="B6" s="3" t="s">
        <v>89</v>
      </c>
      <c r="C6" s="3" t="s">
        <v>0</v>
      </c>
      <c r="D6" s="3" t="s">
        <v>106</v>
      </c>
      <c r="E6" s="3">
        <v>2005</v>
      </c>
      <c r="F6" s="68"/>
      <c r="G6" s="68"/>
      <c r="H6" s="68"/>
      <c r="I6" s="68"/>
    </row>
    <row r="7" spans="2:9">
      <c r="B7" s="12" t="s">
        <v>90</v>
      </c>
      <c r="C7" s="12" t="s">
        <v>91</v>
      </c>
      <c r="D7" s="12" t="s">
        <v>107</v>
      </c>
      <c r="E7" s="12" t="s">
        <v>29</v>
      </c>
      <c r="F7" s="69"/>
      <c r="G7" s="69"/>
      <c r="H7" s="69"/>
      <c r="I7" s="69"/>
    </row>
    <row r="8" spans="2:9">
      <c r="B8" s="12" t="s">
        <v>97</v>
      </c>
      <c r="C8" s="12"/>
      <c r="D8" s="12"/>
      <c r="E8" s="12" t="str">
        <f>E2</f>
        <v>PJ</v>
      </c>
      <c r="F8" s="69"/>
      <c r="G8" s="69"/>
      <c r="H8" s="69"/>
      <c r="I8" s="69"/>
    </row>
    <row r="9" spans="2:9">
      <c r="B9" s="137" t="s">
        <v>28</v>
      </c>
      <c r="C9" s="137" t="str">
        <f>DemTechs_TPS!P5</f>
        <v>PRI_BIOG_AGR</v>
      </c>
      <c r="D9" s="137" t="s">
        <v>86</v>
      </c>
      <c r="E9" s="138">
        <v>1</v>
      </c>
    </row>
    <row r="10" spans="2:9">
      <c r="B10" s="137" t="s">
        <v>28</v>
      </c>
      <c r="C10" s="137" t="str">
        <f>DemTechs_TPS!P6</f>
        <v>PRI_BIO_CH4_AGR</v>
      </c>
      <c r="D10" s="137" t="s">
        <v>86</v>
      </c>
      <c r="E10" s="138">
        <v>1</v>
      </c>
    </row>
    <row r="11" spans="2:9">
      <c r="G11" s="7"/>
      <c r="H11" s="7"/>
      <c r="I11" s="7"/>
    </row>
    <row r="12" spans="2:9">
      <c r="E12" s="23"/>
    </row>
    <row r="13" spans="2:9">
      <c r="E13" s="7"/>
    </row>
    <row r="15" spans="2:9">
      <c r="E15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93e53c-5804-4a67-93fb-28b8362cd015" xsi:nil="true"/>
    <lcf76f155ced4ddcb4097134ff3c332f xmlns="170e58e9-e7cd-474a-92db-e9a604da91e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2D86D12BBB4489DD10379CB2942C4" ma:contentTypeVersion="11" ma:contentTypeDescription="Create a new document." ma:contentTypeScope="" ma:versionID="aafb5670a5d5d2b7ddeeb452f3034230">
  <xsd:schema xmlns:xsd="http://www.w3.org/2001/XMLSchema" xmlns:xs="http://www.w3.org/2001/XMLSchema" xmlns:p="http://schemas.microsoft.com/office/2006/metadata/properties" xmlns:ns2="170e58e9-e7cd-474a-92db-e9a604da91e6" xmlns:ns3="2993e53c-5804-4a67-93fb-28b8362cd015" targetNamespace="http://schemas.microsoft.com/office/2006/metadata/properties" ma:root="true" ma:fieldsID="6b35fe0e36b0ef8e9c2fbdc19245eaaa" ns2:_="" ns3:_="">
    <xsd:import namespace="170e58e9-e7cd-474a-92db-e9a604da91e6"/>
    <xsd:import namespace="2993e53c-5804-4a67-93fb-28b8362cd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e58e9-e7cd-474a-92db-e9a604da9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3e53c-5804-4a67-93fb-28b8362cd0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eef6d8-f72a-484d-8b9f-0562379e1c4a}" ma:internalName="TaxCatchAll" ma:showField="CatchAllData" ma:web="2993e53c-5804-4a67-93fb-28b8362cd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04E0EA-BEE7-420B-B290-26DC7BB19F48}">
  <ds:schemaRefs>
    <ds:schemaRef ds:uri="http://schemas.microsoft.com/office/2006/metadata/properties"/>
    <ds:schemaRef ds:uri="http://schemas.microsoft.com/office/infopath/2007/PartnerControls"/>
    <ds:schemaRef ds:uri="2993e53c-5804-4a67-93fb-28b8362cd015"/>
    <ds:schemaRef ds:uri="170e58e9-e7cd-474a-92db-e9a604da91e6"/>
  </ds:schemaRefs>
</ds:datastoreItem>
</file>

<file path=customXml/itemProps2.xml><?xml version="1.0" encoding="utf-8"?>
<ds:datastoreItem xmlns:ds="http://schemas.openxmlformats.org/officeDocument/2006/customXml" ds:itemID="{68B12A79-0E21-4334-A37C-08ECB90DAB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0e58e9-e7cd-474a-92db-e9a604da91e6"/>
    <ds:schemaRef ds:uri="2993e53c-5804-4a67-93fb-28b8362cd0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66D2C6-3728-4C12-95A4-1F5495D553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EnergyBalance</vt:lpstr>
      <vt:lpstr>RES&amp;OBJ</vt:lpstr>
      <vt:lpstr>DemTechs_TPS</vt:lpstr>
      <vt:lpstr>SUP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Patrycja Rzeszut</cp:lastModifiedBy>
  <cp:lastPrinted>2004-11-16T14:57:57Z</cp:lastPrinted>
  <dcterms:created xsi:type="dcterms:W3CDTF">2000-12-13T15:53:11Z</dcterms:created>
  <dcterms:modified xsi:type="dcterms:W3CDTF">2026-01-06T17:52:28Z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919887721538543</vt:r8>
  </property>
  <property fmtid="{D5CDD505-2E9C-101B-9397-08002B2CF9AE}" pid="3" name="ContentTypeId">
    <vt:lpwstr>0x0101003072D86D12BBB4489DD10379CB2942C4</vt:lpwstr>
  </property>
</Properties>
</file>